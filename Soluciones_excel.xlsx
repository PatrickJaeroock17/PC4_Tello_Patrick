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70834368b779c7c/Documentos/CURSOS UNI 26-1/CONTROL ESTADISTICO DEL PROCESO/PC4_Tello_Patrick/"/>
    </mc:Choice>
  </mc:AlternateContent>
  <xr:revisionPtr revIDLastSave="9" documentId="8_{85108B73-AD35-4A38-B68A-FD787B415C1E}" xr6:coauthVersionLast="47" xr6:coauthVersionMax="47" xr10:uidLastSave="{4CF7C5A4-1F51-4AC6-B7C4-B512A192506C}"/>
  <bookViews>
    <workbookView xWindow="-110" yWindow="-110" windowWidth="19420" windowHeight="11500" activeTab="2" xr2:uid="{29897C20-D7E8-4588-A092-B9D07C52E4BD}"/>
  </bookViews>
  <sheets>
    <sheet name="Problema1_XR" sheetId="2" r:id="rId1"/>
    <sheet name="Problema2_u" sheetId="3" r:id="rId2"/>
    <sheet name="Problema3_Capacidad" sheetId="4" r:id="rId3"/>
    <sheet name="Problema4_np" sheetId="5" r:id="rId4"/>
    <sheet name="Hoja6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7" i="5" l="1"/>
  <c r="E6" i="5"/>
  <c r="E5" i="5"/>
  <c r="E8" i="5" s="1"/>
  <c r="C36" i="4"/>
  <c r="C14" i="4"/>
  <c r="I9" i="4"/>
  <c r="C37" i="4" s="1"/>
  <c r="I8" i="4"/>
  <c r="E8" i="4"/>
  <c r="I7" i="4"/>
  <c r="E7" i="4"/>
  <c r="E9" i="4" s="1"/>
  <c r="I6" i="4"/>
  <c r="I5" i="4"/>
  <c r="E5" i="4"/>
  <c r="E6" i="4" s="1"/>
  <c r="B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G7" i="3"/>
  <c r="D7" i="3"/>
  <c r="G6" i="3"/>
  <c r="G9" i="3" s="1"/>
  <c r="D6" i="3"/>
  <c r="G5" i="3"/>
  <c r="G8" i="3" s="1"/>
  <c r="D5" i="3"/>
  <c r="H16" i="2"/>
  <c r="G16" i="2"/>
  <c r="H15" i="2"/>
  <c r="G15" i="2"/>
  <c r="H14" i="2"/>
  <c r="G14" i="2"/>
  <c r="H13" i="2"/>
  <c r="G13" i="2"/>
  <c r="H12" i="2"/>
  <c r="G12" i="2"/>
  <c r="H11" i="2"/>
  <c r="G11" i="2"/>
  <c r="H10" i="2"/>
  <c r="G10" i="2"/>
  <c r="K11" i="2" s="1"/>
  <c r="H9" i="2"/>
  <c r="G9" i="2"/>
  <c r="H8" i="2"/>
  <c r="G8" i="2"/>
  <c r="H7" i="2"/>
  <c r="G7" i="2"/>
  <c r="H6" i="2"/>
  <c r="G6" i="2"/>
  <c r="H5" i="2"/>
  <c r="K12" i="2" s="1"/>
  <c r="G5" i="2"/>
  <c r="E9" i="5" l="1"/>
  <c r="B37" i="4"/>
  <c r="B15" i="4"/>
  <c r="B36" i="4"/>
  <c r="B14" i="4"/>
  <c r="D14" i="4" s="1"/>
  <c r="C15" i="4"/>
  <c r="A33" i="3"/>
  <c r="A30" i="3"/>
  <c r="A35" i="3"/>
  <c r="A29" i="3"/>
  <c r="A39" i="3"/>
  <c r="A38" i="3"/>
  <c r="G10" i="3"/>
  <c r="G12" i="3" s="1"/>
  <c r="A43" i="3"/>
  <c r="A27" i="3"/>
  <c r="A26" i="3"/>
  <c r="A31" i="3"/>
  <c r="A40" i="3"/>
  <c r="A32" i="3"/>
  <c r="G11" i="3"/>
  <c r="A37" i="3"/>
  <c r="A36" i="3"/>
  <c r="A34" i="3"/>
  <c r="A28" i="3"/>
  <c r="A42" i="3"/>
  <c r="A41" i="3"/>
  <c r="K13" i="2"/>
  <c r="K14" i="2"/>
  <c r="K15" i="2"/>
  <c r="K19" i="2"/>
  <c r="K16" i="2"/>
  <c r="K18" i="2"/>
  <c r="K17" i="2"/>
  <c r="E10" i="5" l="1"/>
  <c r="A48" i="5"/>
  <c r="A47" i="5"/>
  <c r="A52" i="5"/>
  <c r="A46" i="5"/>
  <c r="A51" i="5"/>
  <c r="A50" i="5"/>
  <c r="A49" i="5"/>
  <c r="A53" i="5"/>
  <c r="A45" i="5"/>
  <c r="A44" i="5"/>
  <c r="E12" i="5"/>
  <c r="E11" i="5"/>
  <c r="D15" i="4"/>
  <c r="C43" i="3"/>
  <c r="C27" i="3"/>
  <c r="C41" i="3"/>
  <c r="C34" i="3"/>
  <c r="C28" i="3"/>
  <c r="C38" i="3"/>
  <c r="C32" i="3"/>
  <c r="C40" i="3"/>
  <c r="C29" i="3"/>
  <c r="C37" i="3"/>
  <c r="C30" i="3"/>
  <c r="C35" i="3"/>
  <c r="C39" i="3"/>
  <c r="C42" i="3"/>
  <c r="C26" i="3"/>
  <c r="C36" i="3"/>
  <c r="C31" i="3"/>
  <c r="C33" i="3"/>
  <c r="B38" i="3"/>
  <c r="B41" i="3"/>
  <c r="B30" i="3"/>
  <c r="B43" i="3"/>
  <c r="B27" i="3"/>
  <c r="B32" i="3"/>
  <c r="B39" i="3"/>
  <c r="B37" i="3"/>
  <c r="B42" i="3"/>
  <c r="B26" i="3"/>
  <c r="B31" i="3"/>
  <c r="B36" i="3"/>
  <c r="B35" i="3"/>
  <c r="B40" i="3"/>
  <c r="B29" i="3"/>
  <c r="B34" i="3"/>
  <c r="B28" i="3"/>
  <c r="B33" i="3"/>
  <c r="F31" i="2"/>
  <c r="F23" i="2"/>
  <c r="F29" i="2"/>
  <c r="F21" i="2"/>
  <c r="F30" i="2"/>
  <c r="F24" i="2"/>
  <c r="F26" i="2"/>
  <c r="F28" i="2"/>
  <c r="F20" i="2"/>
  <c r="F27" i="2"/>
  <c r="F25" i="2"/>
  <c r="F22" i="2"/>
  <c r="D26" i="2"/>
  <c r="D25" i="2"/>
  <c r="D28" i="2"/>
  <c r="D31" i="2"/>
  <c r="D23" i="2"/>
  <c r="D20" i="2"/>
  <c r="D22" i="2"/>
  <c r="D27" i="2"/>
  <c r="D24" i="2"/>
  <c r="D21" i="2"/>
  <c r="D30" i="2"/>
  <c r="D29" i="2"/>
  <c r="C28" i="2"/>
  <c r="C22" i="2"/>
  <c r="C27" i="2"/>
  <c r="C24" i="2"/>
  <c r="C26" i="2"/>
  <c r="C30" i="2"/>
  <c r="C20" i="2"/>
  <c r="C29" i="2"/>
  <c r="C21" i="2"/>
  <c r="C31" i="2"/>
  <c r="C23" i="2"/>
  <c r="C25" i="2"/>
  <c r="B29" i="2"/>
  <c r="B21" i="2"/>
  <c r="B31" i="2"/>
  <c r="B23" i="2"/>
  <c r="B20" i="2"/>
  <c r="B30" i="2"/>
  <c r="B22" i="2"/>
  <c r="B27" i="2"/>
  <c r="B26" i="2"/>
  <c r="B24" i="2"/>
  <c r="B28" i="2"/>
  <c r="B25" i="2"/>
  <c r="E30" i="2"/>
  <c r="E22" i="2"/>
  <c r="E27" i="2"/>
  <c r="E29" i="2"/>
  <c r="E31" i="2"/>
  <c r="E23" i="2"/>
  <c r="E24" i="2"/>
  <c r="E21" i="2"/>
  <c r="E28" i="2"/>
  <c r="E20" i="2"/>
  <c r="E25" i="2"/>
  <c r="E26" i="2"/>
  <c r="A31" i="2"/>
  <c r="A20" i="2"/>
  <c r="A25" i="2"/>
  <c r="A27" i="2"/>
  <c r="A29" i="2"/>
  <c r="A21" i="2"/>
  <c r="A23" i="2"/>
  <c r="A30" i="2"/>
  <c r="A24" i="2"/>
  <c r="A28" i="2"/>
  <c r="A26" i="2"/>
  <c r="A22" i="2"/>
  <c r="B48" i="5" l="1"/>
  <c r="B53" i="5"/>
  <c r="B52" i="5"/>
  <c r="B46" i="5"/>
  <c r="B51" i="5"/>
  <c r="B45" i="5"/>
  <c r="B50" i="5"/>
  <c r="B44" i="5"/>
  <c r="B49" i="5"/>
  <c r="B47" i="5"/>
  <c r="C53" i="5"/>
  <c r="C46" i="5"/>
  <c r="C51" i="5"/>
  <c r="C45" i="5"/>
  <c r="C48" i="5"/>
  <c r="C47" i="5"/>
  <c r="C52" i="5"/>
  <c r="C50" i="5"/>
  <c r="C44" i="5"/>
  <c r="C49" i="5"/>
</calcChain>
</file>

<file path=xl/sharedStrings.xml><?xml version="1.0" encoding="utf-8"?>
<sst xmlns="http://schemas.openxmlformats.org/spreadsheetml/2006/main" count="160" uniqueCount="155">
  <si>
    <t>Día</t>
  </si>
  <si>
    <t>PC4 — Problema N°1: Tiempo de picking en banda de preparación (Amazon FC) — Carta X̄-R (n=5)</t>
  </si>
  <si>
    <t>Estándar operativo objetivo: 45 s/pedido | Subgrupos: 12 | Tamaño de subgrupo: n = 5</t>
  </si>
  <si>
    <t>Subgrupo</t>
  </si>
  <si>
    <t>X1</t>
  </si>
  <si>
    <t>X2</t>
  </si>
  <si>
    <t>X3</t>
  </si>
  <si>
    <t>X4</t>
  </si>
  <si>
    <t>X5</t>
  </si>
  <si>
    <t>X̄ (media)</t>
  </si>
  <si>
    <t>R (rango)</t>
  </si>
  <si>
    <t>CONSTANTES (n = 5)</t>
  </si>
  <si>
    <t>A2</t>
  </si>
  <si>
    <t>D3</t>
  </si>
  <si>
    <t>D4</t>
  </si>
  <si>
    <t>d2</t>
  </si>
  <si>
    <t>RESUMEN Y LÍMITES</t>
  </si>
  <si>
    <t>X̿ (media general)</t>
  </si>
  <si>
    <t>R̄ (rango medio)</t>
  </si>
  <si>
    <t>LC carta X̄</t>
  </si>
  <si>
    <t>LCS carta X̄</t>
  </si>
  <si>
    <t>LCI carta X̄</t>
  </si>
  <si>
    <t>LC carta R</t>
  </si>
  <si>
    <t>LCS carta R</t>
  </si>
  <si>
    <t>LCI carta R</t>
  </si>
  <si>
    <t>LC_X</t>
  </si>
  <si>
    <t>LCS_X</t>
  </si>
  <si>
    <t>LCI_X</t>
  </si>
  <si>
    <t>LC_R</t>
  </si>
  <si>
    <t>LCS_R</t>
  </si>
  <si>
    <t>LCI_R</t>
  </si>
  <si>
    <t>σ_within = R̄/d2</t>
  </si>
  <si>
    <t>INTERPRETACIÓN</t>
  </si>
  <si>
    <t>1) Carta R: todos los rangos están dentro de LCI-LCS -&gt; la variabilidad dentro del subgrupo está bajo control.</t>
  </si>
  <si>
    <t>2) Carta X̄: los subgrupos 7 y 10 caen fuera de los límites (SG7 por debajo del LCI, SG10 por encima del LCS).</t>
  </si>
  <si>
    <t>3) El proceso NO está completamente bajo control estadístico; hay causas asignables a investigar en SG7 y SG10.</t>
  </si>
  <si>
    <t>4) La media general (X̿) está muy cerca del estándar de 45 s, por lo que en promedio el proceso cumple el objetivo,</t>
  </si>
  <si>
    <t xml:space="preserve">   pero antes de declarar capacidad se debe eliminar la causa especial y recalcular límites si corresponde.</t>
  </si>
  <si>
    <t>PC4 — Problema N°2: Errores de picking en auditoría — Carta u (n variable, n̄ simplificado)</t>
  </si>
  <si>
    <t>Auditoría diaria de pedidos empacados | k = 18 días | n (pedidos auditados) variable por día</t>
  </si>
  <si>
    <t>n (auditados)</t>
  </si>
  <si>
    <t>c (errores)</t>
  </si>
  <si>
    <t>u = c/n</t>
  </si>
  <si>
    <t>RESUMEN Y LÍMITES (fórmula simplificada con n̄)</t>
  </si>
  <si>
    <t>Σc (total errores)</t>
  </si>
  <si>
    <t>Σn (total auditados)</t>
  </si>
  <si>
    <t>k (n° de días)</t>
  </si>
  <si>
    <t>ū = Σc/Σn (LC)</t>
  </si>
  <si>
    <t>n̄ = Σn/k</t>
  </si>
  <si>
    <t>σ_u = RAIZ(ū/n̄)</t>
  </si>
  <si>
    <t>LCS = ū + 3·σ_u</t>
  </si>
  <si>
    <t>LCI = MAX(0, ū - 3·σ_u)</t>
  </si>
  <si>
    <t>LC_u</t>
  </si>
  <si>
    <t>LCS_u</t>
  </si>
  <si>
    <t>LCI_u</t>
  </si>
  <si>
    <t>NOTA METODOLÓGICA</t>
  </si>
  <si>
    <t>Se usa la fórmula SIMPLIFICADA con n̄ (tamaño de muestra promedio de los 18 días), tal como establece la</t>
  </si>
  <si>
    <t>convención del curso, en lugar de límites variables por día (n_i individual). Esto produce límites de control</t>
  </si>
  <si>
    <t>CONSTANTES (líneas rectas): LCS y LCI no cambian de un día a otro, aunque n varíe.</t>
  </si>
  <si>
    <t>1) Todos los 18 puntos u_i quedan dentro de [LCI, LCS] -&gt; el proceso de auditoría de picking está bajo control</t>
  </si>
  <si>
    <t xml:space="preserve">   estadístico; no hay evidencia de causas asignables en la tasa de errores diaria.</t>
  </si>
  <si>
    <t>2) El punto más alto (día 16, u=0.1017) y el más bajo (día 5, u=0.0385) están dentro de los límites, por lo que</t>
  </si>
  <si>
    <t xml:space="preserve">   se consideran variación común (aleatoria) del proceso, no señales de alarma.</t>
  </si>
  <si>
    <t>3) Acción sugerida al equipo de operaciones: mantener el monitoreo rutinario; no se requiere acción correctiva</t>
  </si>
  <si>
    <t xml:space="preserve">   inmediata, pero conviene seguir vigilando si ū (0.0636 errores/pedido) es aceptable frente a la meta de calidad</t>
  </si>
  <si>
    <t xml:space="preserve">   del centro de distribución, y evaluar si vale la pena reducir el objetivo (ū más bajo) a futuro.</t>
  </si>
  <si>
    <t>PC4 — Problema N°3: Precisión del brazo robótico — Capacidad corto plazo (Cp/Cpk) vs. largo plazo (Pp/Ppk)</t>
  </si>
  <si>
    <t>Tolerancia de ingeniería: LSL = -0.5 mm | USL = 0.5 mm | Target = 0 mm | 25 subgrupos n=5 (5 días) + N=125 datos globales</t>
  </si>
  <si>
    <t>DATOS DE ENTRADA</t>
  </si>
  <si>
    <t>CAPACIDAD CORTO PLAZO (Within)</t>
  </si>
  <si>
    <t>CAPACIDAD LARGO PLAZO (Overall)</t>
  </si>
  <si>
    <t>LSL (límite inferior)</t>
  </si>
  <si>
    <t>σ_overall = s (dado, N=125)</t>
  </si>
  <si>
    <t>USL (límite superior)</t>
  </si>
  <si>
    <t>Cp = (USL-LSL)/(6·σ_within)</t>
  </si>
  <si>
    <t>Pp = (USL-LSL)/(6·σ_overall)</t>
  </si>
  <si>
    <t>Target</t>
  </si>
  <si>
    <t>Cpu = (USL-X̿)/(3·σ_within)</t>
  </si>
  <si>
    <t>Ppu = (USL-X̿)/(3·σ_overall)</t>
  </si>
  <si>
    <t>X̿ (media de medias)</t>
  </si>
  <si>
    <t>Cpl = (X̿-LSL)/(3·σ_within)</t>
  </si>
  <si>
    <t>Ppl = (X̿-LSL)/(3·σ_overall)</t>
  </si>
  <si>
    <t>R̄ (rango promedio, n=5)</t>
  </si>
  <si>
    <t>Cpk = MIN(Cpu, Cpl)</t>
  </si>
  <si>
    <t>Ppk = MIN(Ppu, Ppl)</t>
  </si>
  <si>
    <t>d2 (n=5)</t>
  </si>
  <si>
    <t>s global (N=125, overall)</t>
  </si>
  <si>
    <t>TABLA COMPARATIVA</t>
  </si>
  <si>
    <t>Índice</t>
  </si>
  <si>
    <t>Corto plazo (within)</t>
  </si>
  <si>
    <t>Largo plazo (overall)</t>
  </si>
  <si>
    <t>Diferencia</t>
  </si>
  <si>
    <t>Cp vs Pp</t>
  </si>
  <si>
    <t>Cpk vs Ppk</t>
  </si>
  <si>
    <t>1) Corto plazo (dentro de subgrupo, dentro de un mismo turno/día): Cp≈2.15, Cpk≈2.07. Ambos &gt; 1.33,</t>
  </si>
  <si>
    <t xml:space="preserve">   indicando una capacidad excelente si solo se mira la variación dentro de cada turno.</t>
  </si>
  <si>
    <t>2) Largo plazo (agregando los 5 días, incluyendo diferencias entre turnos/calibraciones): Pp≈1.11, Ppk≈1.07.</t>
  </si>
  <si>
    <t xml:space="preserve">   Siguen siendo aceptables (&gt;1.0) pero MUCHO menores que Cp/Cpk: el proceso es notablemente menos capaz</t>
  </si>
  <si>
    <t xml:space="preserve">   cuando se considera la variación real de varios días/turnos.</t>
  </si>
  <si>
    <t>3) Cp/Cpk casi siempre es más optimista que Pp/Ppk en operación 24/7 porque σ_within solo captura la variación</t>
  </si>
  <si>
    <t xml:space="preserve">   'instantánea' dentro de un subgrupo de 5 mediciones consecutivas (misma hora, mismo turno, misma calibración),</t>
  </si>
  <si>
    <t xml:space="preserve">   mientras que σ_overall (s global) también incorpora el desplazamiento del proceso entre turnos: cambios de</t>
  </si>
  <si>
    <t xml:space="preserve">   calibración del brazo robótico, diferencias entre operadores/turnos, desgaste mecánico acumulado, variaciones</t>
  </si>
  <si>
    <t xml:space="preserve">   ambientales día a día, etc. Esa variación 'entre subgrupos' infla la dispersión total sin afectar la dispersión</t>
  </si>
  <si>
    <t xml:space="preserve">   dentro de cada subgrupo, por lo que Pp/Ppk siempre es igual o menor que Cp/Cpk cuando existe inestabilidad</t>
  </si>
  <si>
    <t xml:space="preserve">   entre turnos (como se sospecha aquí).</t>
  </si>
  <si>
    <t>4) A un cliente interno que evalúa confiabilidad SOSTENIDA del sistema de clasificación se le debe reportar</t>
  </si>
  <si>
    <t xml:space="preserve">   Pp/Ppk (largo plazo), no Cp/Cpk. Cp/Cpk solo describe el potencial del proceso bajo condiciones ideales de</t>
  </si>
  <si>
    <t xml:space="preserve">   corto plazo y puede dar una falsa sensación de seguridad; Pp/Ppk refleja lo que el cliente realmente va a</t>
  </si>
  <si>
    <t xml:space="preserve">   experimentar a lo largo de múltiples turnos y días de operación continua.</t>
  </si>
  <si>
    <t>Corto plazo</t>
  </si>
  <si>
    <t>Largo plazo</t>
  </si>
  <si>
    <t>Cp / Pp</t>
  </si>
  <si>
    <t>Cpk / Ppk</t>
  </si>
  <si>
    <t>PC4 — Problema N°4: Puntualidad de entregas de última milla — Carta np (n=40 constante)</t>
  </si>
  <si>
    <t>10 rutas | 40 paquetes por camión (n constante) | Se cuenta el N° de entregas tardías por ruta</t>
  </si>
  <si>
    <t>Ruta</t>
  </si>
  <si>
    <t>n (paquetes)</t>
  </si>
  <si>
    <t>np (entregas tardías)</t>
  </si>
  <si>
    <t>RESUMEN Y LÍMITES (carta np, n=40 constante)</t>
  </si>
  <si>
    <t>Σ(entregas tardías)</t>
  </si>
  <si>
    <t>Σn (total paquetes)</t>
  </si>
  <si>
    <t>k (n° de rutas)</t>
  </si>
  <si>
    <t>p̄ = Σc/Σn</t>
  </si>
  <si>
    <t>n·p̄ (LC carta np)</t>
  </si>
  <si>
    <t>σ_np = RAIZ(n·p̄·(1-p̄))</t>
  </si>
  <si>
    <t>LCS = n·p̄ + 3·σ_np</t>
  </si>
  <si>
    <t>LCI = MAX(0, n·p̄ - 3·σ_np)</t>
  </si>
  <si>
    <t>INCISO 1 — POR QUÉ LA CARTA I-MR ES UN ERROR METODOLÓGICO</t>
  </si>
  <si>
    <t>El analista trata 'entregas tardías por ruta' como si fuera una medición continua individual (una lectura</t>
  </si>
  <si>
    <t>por ruta), y por eso aplica I-MR. Pero el dato NO es una variable continua: es un CONTEO DE ATRIBUTOS</t>
  </si>
  <si>
    <t>(cuántas de las 40 entregas de esa ruta llegaron tarde), es decir, una variable discreta de tipo binomial</t>
  </si>
  <si>
    <t>(cada paquete: llega a tiempo / llega tarde). I-MR asume que cada observación es una medición continua</t>
  </si>
  <si>
    <t>independiente sin estructura de 'n ensayos, k éxitos'; al usarla aquí se ignora por completo el tamaño de</t>
  </si>
  <si>
    <t>muestra (n=40) y la naturaleza binomial del conteo, lo que produce límites de control matemáticamente</t>
  </si>
  <si>
    <t>incorrectos (basados en rangos móviles de una serie continua, no en la varianza binomial real p(1-p)/n).</t>
  </si>
  <si>
    <t>INCISO 2 — CARTA CORRECTA Y FÓRMULA (n=40 CONSTANTE)</t>
  </si>
  <si>
    <t>Como n=40 es constante en las 10 rutas, la carta correcta es la carta np (número de unidades no</t>
  </si>
  <si>
    <t>conformes), que trabaja directamente con el conteo de entregas tardías sin necesidad de convertirlo a</t>
  </si>
  <si>
    <t>proporción. (La carta p también sería válida trabajando con p_i=c_i/n, y da la misma conclusión).</t>
  </si>
  <si>
    <t>Fórmulas de límites de control 3-sigma para la carta np:</t>
  </si>
  <si>
    <t xml:space="preserve">   p̄ = Σc / Σn                              (proporción global de tardanza)</t>
  </si>
  <si>
    <t xml:space="preserve">   LC  = n·p̄</t>
  </si>
  <si>
    <t xml:space="preserve">   LCS = n·p̄ + 3·RAIZ( n·p̄·(1-p̄) )</t>
  </si>
  <si>
    <t xml:space="preserve">   LCI = MAX(0, n·p̄ - 3·RAIZ( n·p̄·(1-p̄) ))</t>
  </si>
  <si>
    <t>RESULTADO NUMÉRICO Y CONCLUSIÓN</t>
  </si>
  <si>
    <t>Con p̄=0.1025, n·p̄=4.1, LCS≈9.86 y LCI=0: los 10 puntos (2 a 7 tardanzas) están todos dentro de los</t>
  </si>
  <si>
    <t>límites -&gt; el proceso de puntualidad está bajo control estadístico con la carta correctamente aplicada (np),</t>
  </si>
  <si>
    <t>a diferencia de las conclusiones erróneas que pudo haber sacado el analista usando I-MR.</t>
  </si>
  <si>
    <t>LC_np</t>
  </si>
  <si>
    <t>LCS_np</t>
  </si>
  <si>
    <t>LCI_np</t>
  </si>
  <si>
    <t>A</t>
  </si>
  <si>
    <t>B</t>
  </si>
  <si>
    <t>Medicion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</si>
</sst>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10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Arial"/>
      <family val="2"/>
    </font>
    <font>
      <b/>
      <sz val="12"/>
      <name val="Arial"/>
      <family val="2"/>
    </font>
    <font>
      <sz val="10.5"/>
      <name val="Arial"/>
      <family val="2"/>
    </font>
    <font>
      <i/>
      <sz val="10.5"/>
      <name val="Arial"/>
      <family val="2"/>
    </font>
    <font>
      <sz val="14"/>
      <color rgb="FF374151"/>
      <name val="Arial"/>
      <family val="2"/>
    </font>
    <font>
      <sz val="14"/>
      <color rgb="FF030712"/>
      <name val="Arial"/>
      <family val="2"/>
    </font>
    <font>
      <sz val="14"/>
      <color rgb="FF030712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CE6F1"/>
        <bgColor rgb="FFD9D9D9"/>
      </patternFill>
    </fill>
    <fill>
      <patternFill patternType="solid">
        <fgColor rgb="FFE5E7EB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EFF6FF"/>
        <bgColor indexed="64"/>
      </patternFill>
    </fill>
  </fills>
  <borders count="4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  <border>
      <left/>
      <right style="medium">
        <color rgb="FFD1D5DB"/>
      </right>
      <top/>
      <bottom style="medium">
        <color rgb="FFD1D5DB"/>
      </bottom>
      <diagonal/>
    </border>
    <border>
      <left style="medium">
        <color rgb="FFD1D5DB"/>
      </left>
      <right style="medium">
        <color rgb="FFD1D5DB"/>
      </right>
      <top style="medium">
        <color rgb="FFD1D5DB"/>
      </top>
      <bottom style="medium">
        <color rgb="FFD1D5DB"/>
      </bottom>
      <diagonal/>
    </border>
  </borders>
  <cellStyleXfs count="2">
    <xf numFmtId="0" fontId="0" fillId="0" borderId="0"/>
    <xf numFmtId="0" fontId="1" fillId="0" borderId="0"/>
  </cellStyleXfs>
  <cellXfs count="30">
    <xf numFmtId="0" fontId="0" fillId="0" borderId="0" xfId="0"/>
    <xf numFmtId="0" fontId="1" fillId="0" borderId="0" xfId="1"/>
    <xf numFmtId="0" fontId="4" fillId="2" borderId="1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2" fontId="7" fillId="0" borderId="1" xfId="1" applyNumberFormat="1" applyFont="1" applyBorder="1" applyAlignment="1">
      <alignment horizontal="center" vertical="center"/>
    </xf>
    <xf numFmtId="0" fontId="5" fillId="0" borderId="1" xfId="1" applyFont="1" applyBorder="1" applyAlignment="1">
      <alignment horizontal="left" vertical="center"/>
    </xf>
    <xf numFmtId="164" fontId="6" fillId="0" borderId="1" xfId="1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/>
    </xf>
    <xf numFmtId="2" fontId="7" fillId="3" borderId="1" xfId="1" applyNumberFormat="1" applyFont="1" applyFill="1" applyBorder="1" applyAlignment="1">
      <alignment horizontal="center" vertical="center"/>
    </xf>
    <xf numFmtId="164" fontId="8" fillId="0" borderId="1" xfId="1" applyNumberFormat="1" applyFont="1" applyBorder="1" applyAlignment="1">
      <alignment horizontal="center" vertical="center"/>
    </xf>
    <xf numFmtId="164" fontId="1" fillId="0" borderId="1" xfId="1" applyNumberFormat="1" applyBorder="1" applyAlignment="1">
      <alignment horizontal="center" vertical="center"/>
    </xf>
    <xf numFmtId="165" fontId="7" fillId="0" borderId="1" xfId="1" applyNumberFormat="1" applyFont="1" applyBorder="1" applyAlignment="1">
      <alignment horizontal="center" vertical="center"/>
    </xf>
    <xf numFmtId="1" fontId="8" fillId="0" borderId="1" xfId="1" applyNumberFormat="1" applyFont="1" applyBorder="1" applyAlignment="1">
      <alignment horizontal="center" vertical="center"/>
    </xf>
    <xf numFmtId="165" fontId="7" fillId="3" borderId="1" xfId="1" applyNumberFormat="1" applyFont="1" applyFill="1" applyBorder="1" applyAlignment="1">
      <alignment horizontal="center" vertical="center"/>
    </xf>
    <xf numFmtId="165" fontId="8" fillId="0" borderId="1" xfId="1" applyNumberFormat="1" applyFont="1" applyBorder="1" applyAlignment="1">
      <alignment horizontal="center" vertical="center"/>
    </xf>
    <xf numFmtId="166" fontId="8" fillId="0" borderId="1" xfId="1" applyNumberFormat="1" applyFont="1" applyBorder="1" applyAlignment="1">
      <alignment horizontal="center" vertical="center"/>
    </xf>
    <xf numFmtId="165" fontId="1" fillId="0" borderId="1" xfId="1" applyNumberFormat="1" applyBorder="1" applyAlignment="1">
      <alignment horizontal="center" vertical="center"/>
    </xf>
    <xf numFmtId="165" fontId="6" fillId="0" borderId="1" xfId="1" applyNumberFormat="1" applyFont="1" applyBorder="1" applyAlignment="1">
      <alignment horizontal="center" vertical="center"/>
    </xf>
    <xf numFmtId="0" fontId="5" fillId="3" borderId="1" xfId="1" applyFont="1" applyFill="1" applyBorder="1" applyAlignment="1">
      <alignment horizontal="left" vertical="center"/>
    </xf>
    <xf numFmtId="0" fontId="11" fillId="4" borderId="2" xfId="0" applyFont="1" applyFill="1" applyBorder="1" applyAlignment="1">
      <alignment horizontal="center" vertical="center" wrapText="1"/>
    </xf>
    <xf numFmtId="0" fontId="12" fillId="5" borderId="3" xfId="0" applyFont="1" applyFill="1" applyBorder="1" applyAlignment="1">
      <alignment vertical="center" wrapText="1"/>
    </xf>
    <xf numFmtId="0" fontId="13" fillId="0" borderId="3" xfId="0" applyFont="1" applyBorder="1" applyAlignment="1">
      <alignment vertical="center" wrapText="1"/>
    </xf>
    <xf numFmtId="0" fontId="13" fillId="6" borderId="3" xfId="0" applyFont="1" applyFill="1" applyBorder="1" applyAlignment="1">
      <alignment vertical="center" wrapText="1"/>
    </xf>
    <xf numFmtId="0" fontId="9" fillId="0" borderId="0" xfId="1" applyFont="1" applyAlignment="1">
      <alignment horizontal="left" vertical="center" wrapText="1"/>
    </xf>
    <xf numFmtId="0" fontId="2" fillId="2" borderId="0" xfId="1" applyFont="1" applyFill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10" fillId="0" borderId="0" xfId="1" applyFont="1" applyAlignment="1">
      <alignment horizontal="left" vertical="center" wrapText="1"/>
    </xf>
  </cellXfs>
  <cellStyles count="2">
    <cellStyle name="Normal" xfId="0" builtinId="0"/>
    <cellStyle name="Normal 2" xfId="1" xr:uid="{1254E634-7EEA-45CF-A61A-D6F978314056}"/>
  </cellStyles>
  <dxfs count="6">
    <dxf>
      <font>
        <b/>
        <color rgb="FF791F1F"/>
        <name val="Arial"/>
        <charset val="1"/>
      </font>
      <fill>
        <patternFill>
          <bgColor rgb="FFF7C1C1"/>
        </patternFill>
      </fill>
    </dxf>
    <dxf>
      <font>
        <b/>
        <color rgb="FF791F1F"/>
        <name val="Arial"/>
        <charset val="1"/>
      </font>
      <fill>
        <patternFill>
          <bgColor rgb="FFF7C1C1"/>
        </patternFill>
      </fill>
    </dxf>
    <dxf>
      <font>
        <b/>
        <color rgb="FF791F1F"/>
        <name val="Arial"/>
        <charset val="1"/>
      </font>
      <fill>
        <patternFill>
          <bgColor rgb="FFF7C1C1"/>
        </patternFill>
      </fill>
    </dxf>
    <dxf>
      <font>
        <b/>
        <color rgb="FF791F1F"/>
        <name val="Arial"/>
        <charset val="1"/>
      </font>
      <fill>
        <patternFill>
          <bgColor rgb="FFF7C1C1"/>
        </patternFill>
      </fill>
    </dxf>
    <dxf>
      <font>
        <b/>
        <color rgb="FF791F1F"/>
        <name val="Arial"/>
        <charset val="1"/>
      </font>
      <fill>
        <patternFill>
          <bgColor rgb="FFF7C1C1"/>
        </patternFill>
      </fill>
    </dxf>
    <dxf>
      <font>
        <b/>
        <color rgb="FF791F1F"/>
        <name val="Arial"/>
        <charset val="1"/>
      </font>
      <fill>
        <patternFill>
          <bgColor rgb="FFF7C1C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Carta X̄ — Tiempo de picking (n=5)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Problema1_XR!$G$4</c:f>
              <c:strCache>
                <c:ptCount val="1"/>
                <c:pt idx="0">
                  <c:v>X̄ (media)</c:v>
                </c:pt>
              </c:strCache>
            </c:strRef>
          </c:tx>
          <c:spPr>
            <a:ln w="201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Problema1_XR!$G$5:$G$16</c:f>
              <c:numCache>
                <c:formatCode>0.00</c:formatCode>
                <c:ptCount val="12"/>
                <c:pt idx="0">
                  <c:v>45</c:v>
                </c:pt>
                <c:pt idx="1">
                  <c:v>44.8</c:v>
                </c:pt>
                <c:pt idx="2">
                  <c:v>45.6</c:v>
                </c:pt>
                <c:pt idx="3">
                  <c:v>44.6</c:v>
                </c:pt>
                <c:pt idx="4">
                  <c:v>44.8</c:v>
                </c:pt>
                <c:pt idx="5">
                  <c:v>46.6</c:v>
                </c:pt>
                <c:pt idx="6">
                  <c:v>43.6</c:v>
                </c:pt>
                <c:pt idx="7">
                  <c:v>45.8</c:v>
                </c:pt>
                <c:pt idx="8">
                  <c:v>45.2</c:v>
                </c:pt>
                <c:pt idx="9">
                  <c:v>47.6</c:v>
                </c:pt>
                <c:pt idx="10">
                  <c:v>44.2</c:v>
                </c:pt>
                <c:pt idx="11">
                  <c:v>45.6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B8-4ED1-BC12-59237DCDF5BA}"/>
            </c:ext>
          </c:extLst>
        </c:ser>
        <c:ser>
          <c:idx val="1"/>
          <c:order val="1"/>
          <c:tx>
            <c:strRef>
              <c:f>Problema1_XR!$A$19</c:f>
              <c:strCache>
                <c:ptCount val="1"/>
                <c:pt idx="0">
                  <c:v>LC_X</c:v>
                </c:pt>
              </c:strCache>
            </c:strRef>
          </c:tx>
          <c:spPr>
            <a:ln w="2844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Problema1_XR!$A$20:$A$31</c:f>
              <c:numCache>
                <c:formatCode>0.000</c:formatCode>
                <c:ptCount val="12"/>
                <c:pt idx="0">
                  <c:v>45.283333333333339</c:v>
                </c:pt>
                <c:pt idx="1">
                  <c:v>45.283333333333339</c:v>
                </c:pt>
                <c:pt idx="2">
                  <c:v>45.283333333333339</c:v>
                </c:pt>
                <c:pt idx="3">
                  <c:v>45.283333333333339</c:v>
                </c:pt>
                <c:pt idx="4">
                  <c:v>45.283333333333339</c:v>
                </c:pt>
                <c:pt idx="5">
                  <c:v>45.283333333333339</c:v>
                </c:pt>
                <c:pt idx="6">
                  <c:v>45.283333333333339</c:v>
                </c:pt>
                <c:pt idx="7">
                  <c:v>45.283333333333339</c:v>
                </c:pt>
                <c:pt idx="8">
                  <c:v>45.283333333333339</c:v>
                </c:pt>
                <c:pt idx="9">
                  <c:v>45.283333333333339</c:v>
                </c:pt>
                <c:pt idx="10">
                  <c:v>45.283333333333339</c:v>
                </c:pt>
                <c:pt idx="11">
                  <c:v>45.283333333333339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B8-4ED1-BC12-59237DCDF5BA}"/>
            </c:ext>
          </c:extLst>
        </c:ser>
        <c:ser>
          <c:idx val="2"/>
          <c:order val="2"/>
          <c:tx>
            <c:strRef>
              <c:f>Problema1_XR!$B$19</c:f>
              <c:strCache>
                <c:ptCount val="1"/>
                <c:pt idx="0">
                  <c:v>LCS_X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Problema1_XR!$B$20:$B$31</c:f>
              <c:numCache>
                <c:formatCode>0.000</c:formatCode>
                <c:ptCount val="12"/>
                <c:pt idx="0">
                  <c:v>46.822000000000003</c:v>
                </c:pt>
                <c:pt idx="1">
                  <c:v>46.822000000000003</c:v>
                </c:pt>
                <c:pt idx="2">
                  <c:v>46.822000000000003</c:v>
                </c:pt>
                <c:pt idx="3">
                  <c:v>46.822000000000003</c:v>
                </c:pt>
                <c:pt idx="4">
                  <c:v>46.822000000000003</c:v>
                </c:pt>
                <c:pt idx="5">
                  <c:v>46.822000000000003</c:v>
                </c:pt>
                <c:pt idx="6">
                  <c:v>46.822000000000003</c:v>
                </c:pt>
                <c:pt idx="7">
                  <c:v>46.822000000000003</c:v>
                </c:pt>
                <c:pt idx="8">
                  <c:v>46.822000000000003</c:v>
                </c:pt>
                <c:pt idx="9">
                  <c:v>46.822000000000003</c:v>
                </c:pt>
                <c:pt idx="10">
                  <c:v>46.822000000000003</c:v>
                </c:pt>
                <c:pt idx="11">
                  <c:v>46.822000000000003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8B8-4ED1-BC12-59237DCDF5BA}"/>
            </c:ext>
          </c:extLst>
        </c:ser>
        <c:ser>
          <c:idx val="3"/>
          <c:order val="3"/>
          <c:tx>
            <c:strRef>
              <c:f>Problema1_XR!$C$19</c:f>
              <c:strCache>
                <c:ptCount val="1"/>
                <c:pt idx="0">
                  <c:v>LCI_X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Problema1_XR!$C$20:$C$31</c:f>
              <c:numCache>
                <c:formatCode>0.000</c:formatCode>
                <c:ptCount val="12"/>
                <c:pt idx="0">
                  <c:v>43.744666666666674</c:v>
                </c:pt>
                <c:pt idx="1">
                  <c:v>43.744666666666674</c:v>
                </c:pt>
                <c:pt idx="2">
                  <c:v>43.744666666666674</c:v>
                </c:pt>
                <c:pt idx="3">
                  <c:v>43.744666666666674</c:v>
                </c:pt>
                <c:pt idx="4">
                  <c:v>43.744666666666674</c:v>
                </c:pt>
                <c:pt idx="5">
                  <c:v>43.744666666666674</c:v>
                </c:pt>
                <c:pt idx="6">
                  <c:v>43.744666666666674</c:v>
                </c:pt>
                <c:pt idx="7">
                  <c:v>43.744666666666674</c:v>
                </c:pt>
                <c:pt idx="8">
                  <c:v>43.744666666666674</c:v>
                </c:pt>
                <c:pt idx="9">
                  <c:v>43.744666666666674</c:v>
                </c:pt>
                <c:pt idx="10">
                  <c:v>43.744666666666674</c:v>
                </c:pt>
                <c:pt idx="11">
                  <c:v>43.744666666666674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8B8-4ED1-BC12-59237DCDF5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6508252"/>
        <c:axId val="64471579"/>
      </c:lineChart>
      <c:catAx>
        <c:axId val="8650825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4471579"/>
        <c:crosses val="autoZero"/>
        <c:auto val="1"/>
        <c:lblAlgn val="ctr"/>
        <c:lblOffset val="100"/>
        <c:noMultiLvlLbl val="0"/>
      </c:catAx>
      <c:valAx>
        <c:axId val="644715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Tiempo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650825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Carta R — Tiempo de picking (n=5)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Problema1_XR!$H$4</c:f>
              <c:strCache>
                <c:ptCount val="1"/>
                <c:pt idx="0">
                  <c:v>R (rango)</c:v>
                </c:pt>
              </c:strCache>
            </c:strRef>
          </c:tx>
          <c:spPr>
            <a:ln w="20160">
              <a:solidFill>
                <a:srgbClr val="1BAF7A"/>
              </a:solidFill>
              <a:round/>
            </a:ln>
          </c:spPr>
          <c:marker>
            <c:symbol val="circle"/>
            <c:size val="6"/>
            <c:spPr>
              <a:solidFill>
                <a:srgbClr val="1BAF7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Problema1_XR!$H$5:$H$16</c:f>
              <c:numCache>
                <c:formatCode>0.00</c:formatCode>
                <c:ptCount val="12"/>
                <c:pt idx="0">
                  <c:v>4</c:v>
                </c:pt>
                <c:pt idx="1">
                  <c:v>2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2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82-4EC8-A766-ACDD48420569}"/>
            </c:ext>
          </c:extLst>
        </c:ser>
        <c:ser>
          <c:idx val="1"/>
          <c:order val="1"/>
          <c:tx>
            <c:strRef>
              <c:f>Problema1_XR!$D$19</c:f>
              <c:strCache>
                <c:ptCount val="1"/>
                <c:pt idx="0">
                  <c:v>LC_R</c:v>
                </c:pt>
              </c:strCache>
            </c:strRef>
          </c:tx>
          <c:spPr>
            <a:ln w="2844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Problema1_XR!$D$20:$D$31</c:f>
              <c:numCache>
                <c:formatCode>0.000</c:formatCode>
                <c:ptCount val="12"/>
                <c:pt idx="0">
                  <c:v>2.6666666666666665</c:v>
                </c:pt>
                <c:pt idx="1">
                  <c:v>2.6666666666666665</c:v>
                </c:pt>
                <c:pt idx="2">
                  <c:v>2.6666666666666665</c:v>
                </c:pt>
                <c:pt idx="3">
                  <c:v>2.6666666666666665</c:v>
                </c:pt>
                <c:pt idx="4">
                  <c:v>2.6666666666666665</c:v>
                </c:pt>
                <c:pt idx="5">
                  <c:v>2.6666666666666665</c:v>
                </c:pt>
                <c:pt idx="6">
                  <c:v>2.6666666666666665</c:v>
                </c:pt>
                <c:pt idx="7">
                  <c:v>2.6666666666666665</c:v>
                </c:pt>
                <c:pt idx="8">
                  <c:v>2.6666666666666665</c:v>
                </c:pt>
                <c:pt idx="9">
                  <c:v>2.6666666666666665</c:v>
                </c:pt>
                <c:pt idx="10">
                  <c:v>2.6666666666666665</c:v>
                </c:pt>
                <c:pt idx="11">
                  <c:v>2.6666666666666665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82-4EC8-A766-ACDD48420569}"/>
            </c:ext>
          </c:extLst>
        </c:ser>
        <c:ser>
          <c:idx val="2"/>
          <c:order val="2"/>
          <c:tx>
            <c:strRef>
              <c:f>Problema1_XR!$E$19</c:f>
              <c:strCache>
                <c:ptCount val="1"/>
                <c:pt idx="0">
                  <c:v>LCS_R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Problema1_XR!$E$20:$E$31</c:f>
              <c:numCache>
                <c:formatCode>0.000</c:formatCode>
                <c:ptCount val="12"/>
                <c:pt idx="0">
                  <c:v>5.6373333333333324</c:v>
                </c:pt>
                <c:pt idx="1">
                  <c:v>5.6373333333333324</c:v>
                </c:pt>
                <c:pt idx="2">
                  <c:v>5.6373333333333324</c:v>
                </c:pt>
                <c:pt idx="3">
                  <c:v>5.6373333333333324</c:v>
                </c:pt>
                <c:pt idx="4">
                  <c:v>5.6373333333333324</c:v>
                </c:pt>
                <c:pt idx="5">
                  <c:v>5.6373333333333324</c:v>
                </c:pt>
                <c:pt idx="6">
                  <c:v>5.6373333333333324</c:v>
                </c:pt>
                <c:pt idx="7">
                  <c:v>5.6373333333333324</c:v>
                </c:pt>
                <c:pt idx="8">
                  <c:v>5.6373333333333324</c:v>
                </c:pt>
                <c:pt idx="9">
                  <c:v>5.6373333333333324</c:v>
                </c:pt>
                <c:pt idx="10">
                  <c:v>5.6373333333333324</c:v>
                </c:pt>
                <c:pt idx="11">
                  <c:v>5.6373333333333324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82-4EC8-A766-ACDD48420569}"/>
            </c:ext>
          </c:extLst>
        </c:ser>
        <c:ser>
          <c:idx val="3"/>
          <c:order val="3"/>
          <c:tx>
            <c:strRef>
              <c:f>Problema1_XR!$F$19</c:f>
              <c:strCache>
                <c:ptCount val="1"/>
                <c:pt idx="0">
                  <c:v>LCI_R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Problema1_XR!$A$5:$A$16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Problema1_XR!$F$20:$F$31</c:f>
              <c:numCache>
                <c:formatCode>0.000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82-4EC8-A766-ACDD484205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567119"/>
        <c:axId val="81533622"/>
      </c:lineChart>
      <c:catAx>
        <c:axId val="415671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Subgrupo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81533622"/>
        <c:crosses val="autoZero"/>
        <c:auto val="1"/>
        <c:lblAlgn val="ctr"/>
        <c:lblOffset val="100"/>
        <c:noMultiLvlLbl val="0"/>
      </c:catAx>
      <c:valAx>
        <c:axId val="8153362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Rango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15671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Carta u — Errores de picking por pedido auditado (n variable, n̄ simplificado)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Problema2_u!$D$4</c:f>
              <c:strCache>
                <c:ptCount val="1"/>
                <c:pt idx="0">
                  <c:v>u = c/n</c:v>
                </c:pt>
              </c:strCache>
            </c:strRef>
          </c:tx>
          <c:spPr>
            <a:ln w="201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Problema2_u!$A$5:$A$22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Problema2_u!$D$5:$D$22</c:f>
              <c:numCache>
                <c:formatCode>0.0000</c:formatCode>
                <c:ptCount val="18"/>
                <c:pt idx="0">
                  <c:v>0.06</c:v>
                </c:pt>
                <c:pt idx="1">
                  <c:v>4.4444444444444446E-2</c:v>
                </c:pt>
                <c:pt idx="2">
                  <c:v>7.2727272727272724E-2</c:v>
                </c:pt>
                <c:pt idx="3">
                  <c:v>6.25E-2</c:v>
                </c:pt>
                <c:pt idx="4">
                  <c:v>3.8461538461538464E-2</c:v>
                </c:pt>
                <c:pt idx="5">
                  <c:v>8.3333333333333329E-2</c:v>
                </c:pt>
                <c:pt idx="6">
                  <c:v>6.3829787234042548E-2</c:v>
                </c:pt>
                <c:pt idx="7">
                  <c:v>0.08</c:v>
                </c:pt>
                <c:pt idx="8">
                  <c:v>4.5454545454545456E-2</c:v>
                </c:pt>
                <c:pt idx="9">
                  <c:v>8.6206896551724144E-2</c:v>
                </c:pt>
                <c:pt idx="10">
                  <c:v>5.6603773584905662E-2</c:v>
                </c:pt>
                <c:pt idx="11">
                  <c:v>4.0816326530612242E-2</c:v>
                </c:pt>
                <c:pt idx="12">
                  <c:v>7.1428571428571425E-2</c:v>
                </c:pt>
                <c:pt idx="13">
                  <c:v>5.8823529411764705E-2</c:v>
                </c:pt>
                <c:pt idx="14">
                  <c:v>4.3478260869565216E-2</c:v>
                </c:pt>
                <c:pt idx="15">
                  <c:v>0.10169491525423729</c:v>
                </c:pt>
                <c:pt idx="16">
                  <c:v>5.5555555555555552E-2</c:v>
                </c:pt>
                <c:pt idx="17">
                  <c:v>0.06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CA-4DC2-B33E-4918D5FCB967}"/>
            </c:ext>
          </c:extLst>
        </c:ser>
        <c:ser>
          <c:idx val="1"/>
          <c:order val="1"/>
          <c:tx>
            <c:strRef>
              <c:f>Problema2_u!$A$25</c:f>
              <c:strCache>
                <c:ptCount val="1"/>
                <c:pt idx="0">
                  <c:v>LC_u</c:v>
                </c:pt>
              </c:strCache>
            </c:strRef>
          </c:tx>
          <c:spPr>
            <a:ln w="2844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Problema2_u!$A$5:$A$22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Problema2_u!$A$26:$A$43</c:f>
              <c:numCache>
                <c:formatCode>0.0000</c:formatCode>
                <c:ptCount val="18"/>
                <c:pt idx="0">
                  <c:v>6.3646170442286945E-2</c:v>
                </c:pt>
                <c:pt idx="1">
                  <c:v>6.3646170442286945E-2</c:v>
                </c:pt>
                <c:pt idx="2">
                  <c:v>6.3646170442286945E-2</c:v>
                </c:pt>
                <c:pt idx="3">
                  <c:v>6.3646170442286945E-2</c:v>
                </c:pt>
                <c:pt idx="4">
                  <c:v>6.3646170442286945E-2</c:v>
                </c:pt>
                <c:pt idx="5">
                  <c:v>6.3646170442286945E-2</c:v>
                </c:pt>
                <c:pt idx="6">
                  <c:v>6.3646170442286945E-2</c:v>
                </c:pt>
                <c:pt idx="7">
                  <c:v>6.3646170442286945E-2</c:v>
                </c:pt>
                <c:pt idx="8">
                  <c:v>6.3646170442286945E-2</c:v>
                </c:pt>
                <c:pt idx="9">
                  <c:v>6.3646170442286945E-2</c:v>
                </c:pt>
                <c:pt idx="10">
                  <c:v>6.3646170442286945E-2</c:v>
                </c:pt>
                <c:pt idx="11">
                  <c:v>6.3646170442286945E-2</c:v>
                </c:pt>
                <c:pt idx="12">
                  <c:v>6.3646170442286945E-2</c:v>
                </c:pt>
                <c:pt idx="13">
                  <c:v>6.3646170442286945E-2</c:v>
                </c:pt>
                <c:pt idx="14">
                  <c:v>6.3646170442286945E-2</c:v>
                </c:pt>
                <c:pt idx="15">
                  <c:v>6.3646170442286945E-2</c:v>
                </c:pt>
                <c:pt idx="16">
                  <c:v>6.3646170442286945E-2</c:v>
                </c:pt>
                <c:pt idx="17">
                  <c:v>6.3646170442286945E-2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2CA-4DC2-B33E-4918D5FCB967}"/>
            </c:ext>
          </c:extLst>
        </c:ser>
        <c:ser>
          <c:idx val="2"/>
          <c:order val="2"/>
          <c:tx>
            <c:strRef>
              <c:f>Problema2_u!$B$25</c:f>
              <c:strCache>
                <c:ptCount val="1"/>
                <c:pt idx="0">
                  <c:v>LCS_u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Problema2_u!$A$5:$A$22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Problema2_u!$B$26:$B$43</c:f>
              <c:numCache>
                <c:formatCode>0.0000</c:formatCode>
                <c:ptCount val="18"/>
                <c:pt idx="0">
                  <c:v>0.16911005870636669</c:v>
                </c:pt>
                <c:pt idx="1">
                  <c:v>0.16911005870636669</c:v>
                </c:pt>
                <c:pt idx="2">
                  <c:v>0.16911005870636669</c:v>
                </c:pt>
                <c:pt idx="3">
                  <c:v>0.16911005870636669</c:v>
                </c:pt>
                <c:pt idx="4">
                  <c:v>0.16911005870636669</c:v>
                </c:pt>
                <c:pt idx="5">
                  <c:v>0.16911005870636669</c:v>
                </c:pt>
                <c:pt idx="6">
                  <c:v>0.16911005870636669</c:v>
                </c:pt>
                <c:pt idx="7">
                  <c:v>0.16911005870636669</c:v>
                </c:pt>
                <c:pt idx="8">
                  <c:v>0.16911005870636669</c:v>
                </c:pt>
                <c:pt idx="9">
                  <c:v>0.16911005870636669</c:v>
                </c:pt>
                <c:pt idx="10">
                  <c:v>0.16911005870636669</c:v>
                </c:pt>
                <c:pt idx="11">
                  <c:v>0.16911005870636669</c:v>
                </c:pt>
                <c:pt idx="12">
                  <c:v>0.16911005870636669</c:v>
                </c:pt>
                <c:pt idx="13">
                  <c:v>0.16911005870636669</c:v>
                </c:pt>
                <c:pt idx="14">
                  <c:v>0.16911005870636669</c:v>
                </c:pt>
                <c:pt idx="15">
                  <c:v>0.16911005870636669</c:v>
                </c:pt>
                <c:pt idx="16">
                  <c:v>0.16911005870636669</c:v>
                </c:pt>
                <c:pt idx="17">
                  <c:v>0.16911005870636669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CA-4DC2-B33E-4918D5FCB967}"/>
            </c:ext>
          </c:extLst>
        </c:ser>
        <c:ser>
          <c:idx val="3"/>
          <c:order val="3"/>
          <c:tx>
            <c:strRef>
              <c:f>Problema2_u!$C$25</c:f>
              <c:strCache>
                <c:ptCount val="1"/>
                <c:pt idx="0">
                  <c:v>LCI_u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Problema2_u!$A$5:$A$22</c:f>
              <c:numCache>
                <c:formatCode>General</c:formatCode>
                <c:ptCount val="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</c:numCache>
            </c:numRef>
          </c:cat>
          <c:val>
            <c:numRef>
              <c:f>Problema2_u!$C$26:$C$43</c:f>
              <c:numCache>
                <c:formatCode>0.0000</c:formatCode>
                <c:ptCount val="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CA-4DC2-B33E-4918D5FCB9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3354887"/>
        <c:axId val="48166370"/>
      </c:lineChart>
      <c:catAx>
        <c:axId val="1335488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Día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8166370"/>
        <c:crosses val="autoZero"/>
        <c:auto val="1"/>
        <c:lblAlgn val="ctr"/>
        <c:lblOffset val="100"/>
        <c:noMultiLvlLbl val="0"/>
      </c:catAx>
      <c:valAx>
        <c:axId val="481663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u (errores por pedido)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335488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Comparación de capacidad: corto plazo vs. largo plazo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Problema3_Capacidad!$B$35</c:f>
              <c:strCache>
                <c:ptCount val="1"/>
                <c:pt idx="0">
                  <c:v>Corto plazo</c:v>
                </c:pt>
              </c:strCache>
            </c:strRef>
          </c:tx>
          <c:spPr>
            <a:solidFill>
              <a:srgbClr val="2A78D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Problema3_Capacidad!$A$36:$A$37</c:f>
              <c:strCache>
                <c:ptCount val="2"/>
                <c:pt idx="0">
                  <c:v>Cp / Pp</c:v>
                </c:pt>
                <c:pt idx="1">
                  <c:v>Cpk / Ppk</c:v>
                </c:pt>
              </c:strCache>
            </c:strRef>
          </c:cat>
          <c:val>
            <c:numRef>
              <c:f>Problema3_Capacidad!$B$36:$B$37</c:f>
              <c:numCache>
                <c:formatCode>0.0000</c:formatCode>
                <c:ptCount val="2"/>
                <c:pt idx="0">
                  <c:v>2.1537037037037035</c:v>
                </c:pt>
                <c:pt idx="1">
                  <c:v>2.0675555555555554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14-4B6D-A9B6-021695D4864B}"/>
            </c:ext>
          </c:extLst>
        </c:ser>
        <c:ser>
          <c:idx val="1"/>
          <c:order val="1"/>
          <c:tx>
            <c:strRef>
              <c:f>Problema3_Capacidad!$C$35</c:f>
              <c:strCache>
                <c:ptCount val="1"/>
                <c:pt idx="0">
                  <c:v>Largo plazo</c:v>
                </c:pt>
              </c:strCache>
            </c:strRef>
          </c:tx>
          <c:spPr>
            <a:solidFill>
              <a:srgbClr val="E3494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Problema3_Capacidad!$A$36:$A$37</c:f>
              <c:strCache>
                <c:ptCount val="2"/>
                <c:pt idx="0">
                  <c:v>Cp / Pp</c:v>
                </c:pt>
                <c:pt idx="1">
                  <c:v>Cpk / Ppk</c:v>
                </c:pt>
              </c:strCache>
            </c:strRef>
          </c:cat>
          <c:val>
            <c:numRef>
              <c:f>Problema3_Capacidad!$C$36:$C$37</c:f>
              <c:numCache>
                <c:formatCode>0.0000</c:formatCode>
                <c:ptCount val="2"/>
                <c:pt idx="0">
                  <c:v>1.1111111111111112</c:v>
                </c:pt>
                <c:pt idx="1">
                  <c:v>1.0666666666666667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14-4B6D-A9B6-021695D486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39108"/>
        <c:axId val="66348972"/>
      </c:barChart>
      <c:catAx>
        <c:axId val="102391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Índice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6348972"/>
        <c:crosses val="autoZero"/>
        <c:auto val="1"/>
        <c:lblAlgn val="ctr"/>
        <c:lblOffset val="100"/>
        <c:noMultiLvlLbl val="0"/>
      </c:catAx>
      <c:valAx>
        <c:axId val="66348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Índice de capacidad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10239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PE" sz="1800" b="1" strike="noStrike" spc="-1">
                <a:solidFill>
                  <a:srgbClr val="000000"/>
                </a:solidFill>
                <a:latin typeface="Calibri"/>
              </a:rPr>
              <a:t>Carta np — Entregas tardías por ruta (n=40)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Problema4_np!$C$4</c:f>
              <c:strCache>
                <c:ptCount val="1"/>
                <c:pt idx="0">
                  <c:v>np (entregas tardías)</c:v>
                </c:pt>
              </c:strCache>
            </c:strRef>
          </c:tx>
          <c:spPr>
            <a:ln w="20160">
              <a:solidFill>
                <a:srgbClr val="2A78D6"/>
              </a:solidFill>
              <a:round/>
            </a:ln>
          </c:spPr>
          <c:marker>
            <c:symbol val="circle"/>
            <c:size val="6"/>
            <c:spPr>
              <a:solidFill>
                <a:srgbClr val="2A78D6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Problema4_np!$A$5:$A$14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Problema4_np!$C$5:$C$14</c:f>
              <c:numCache>
                <c:formatCode>General</c:formatCode>
                <c:ptCount val="10"/>
                <c:pt idx="0">
                  <c:v>3</c:v>
                </c:pt>
                <c:pt idx="1">
                  <c:v>5</c:v>
                </c:pt>
                <c:pt idx="2">
                  <c:v>2</c:v>
                </c:pt>
                <c:pt idx="3">
                  <c:v>6</c:v>
                </c:pt>
                <c:pt idx="4">
                  <c:v>4</c:v>
                </c:pt>
                <c:pt idx="5">
                  <c:v>3</c:v>
                </c:pt>
                <c:pt idx="6">
                  <c:v>7</c:v>
                </c:pt>
                <c:pt idx="7">
                  <c:v>2</c:v>
                </c:pt>
                <c:pt idx="8">
                  <c:v>5</c:v>
                </c:pt>
                <c:pt idx="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D00-4A67-AE18-3FEE3144233A}"/>
            </c:ext>
          </c:extLst>
        </c:ser>
        <c:ser>
          <c:idx val="1"/>
          <c:order val="1"/>
          <c:tx>
            <c:strRef>
              <c:f>Problema4_np!$A$43</c:f>
              <c:strCache>
                <c:ptCount val="1"/>
                <c:pt idx="0">
                  <c:v>LC_np</c:v>
                </c:pt>
              </c:strCache>
            </c:strRef>
          </c:tx>
          <c:spPr>
            <a:ln w="28440">
              <a:solidFill>
                <a:srgbClr val="89878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Problema4_np!$A$5:$A$14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Problema4_np!$A$44:$A$53</c:f>
              <c:numCache>
                <c:formatCode>0.0000</c:formatCode>
                <c:ptCount val="10"/>
                <c:pt idx="0">
                  <c:v>4.0999999999999996</c:v>
                </c:pt>
                <c:pt idx="1">
                  <c:v>4.0999999999999996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4.0999999999999996</c:v>
                </c:pt>
                <c:pt idx="5">
                  <c:v>4.0999999999999996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4.0999999999999996</c:v>
                </c:pt>
                <c:pt idx="9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00-4A67-AE18-3FEE3144233A}"/>
            </c:ext>
          </c:extLst>
        </c:ser>
        <c:ser>
          <c:idx val="2"/>
          <c:order val="2"/>
          <c:tx>
            <c:strRef>
              <c:f>Problema4_np!$B$43</c:f>
              <c:strCache>
                <c:ptCount val="1"/>
                <c:pt idx="0">
                  <c:v>LCS_np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Problema4_np!$A$5:$A$14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Problema4_np!$B$44:$B$53</c:f>
              <c:numCache>
                <c:formatCode>0.0000</c:formatCode>
                <c:ptCount val="10"/>
                <c:pt idx="0">
                  <c:v>9.8548023423919595</c:v>
                </c:pt>
                <c:pt idx="1">
                  <c:v>9.8548023423919595</c:v>
                </c:pt>
                <c:pt idx="2">
                  <c:v>9.8548023423919595</c:v>
                </c:pt>
                <c:pt idx="3">
                  <c:v>9.8548023423919595</c:v>
                </c:pt>
                <c:pt idx="4">
                  <c:v>9.8548023423919595</c:v>
                </c:pt>
                <c:pt idx="5">
                  <c:v>9.8548023423919595</c:v>
                </c:pt>
                <c:pt idx="6">
                  <c:v>9.8548023423919595</c:v>
                </c:pt>
                <c:pt idx="7">
                  <c:v>9.8548023423919595</c:v>
                </c:pt>
                <c:pt idx="8">
                  <c:v>9.8548023423919595</c:v>
                </c:pt>
                <c:pt idx="9">
                  <c:v>9.8548023423919595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D00-4A67-AE18-3FEE3144233A}"/>
            </c:ext>
          </c:extLst>
        </c:ser>
        <c:ser>
          <c:idx val="3"/>
          <c:order val="3"/>
          <c:tx>
            <c:strRef>
              <c:f>Problema4_np!$C$43</c:f>
              <c:strCache>
                <c:ptCount val="1"/>
                <c:pt idx="0">
                  <c:v>LCI_np</c:v>
                </c:pt>
              </c:strCache>
            </c:strRef>
          </c:tx>
          <c:spPr>
            <a:ln w="28440">
              <a:solidFill>
                <a:srgbClr val="E34948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P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Problema4_np!$A$5:$A$14</c:f>
              <c:numCache>
                <c:formatCode>General</c:formatCode>
                <c:ptCount val="1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</c:numCache>
            </c:numRef>
          </c:cat>
          <c:val>
            <c:numRef>
              <c:f>Problema4_np!$C$44:$C$53</c:f>
              <c:numCache>
                <c:formatCode>0.0000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00-4A67-AE18-3FEE314423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64583978"/>
        <c:axId val="44738768"/>
      </c:lineChart>
      <c:catAx>
        <c:axId val="6458397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Ruta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44738768"/>
        <c:crosses val="autoZero"/>
        <c:auto val="1"/>
        <c:lblAlgn val="ctr"/>
        <c:lblOffset val="100"/>
        <c:noMultiLvlLbl val="0"/>
      </c:catAx>
      <c:valAx>
        <c:axId val="447387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PE" sz="1000" b="1" strike="noStrike" spc="-1">
                    <a:solidFill>
                      <a:srgbClr val="000000"/>
                    </a:solidFill>
                    <a:latin typeface="Calibri"/>
                  </a:rPr>
                  <a:t>N° de entregas tardías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PE"/>
          </a:p>
        </c:txPr>
        <c:crossAx val="645839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P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0</xdr:colOff>
      <xdr:row>20</xdr:row>
      <xdr:rowOff>0</xdr:rowOff>
    </xdr:from>
    <xdr:to>
      <xdr:col>17</xdr:col>
      <xdr:colOff>555120</xdr:colOff>
      <xdr:row>34</xdr:row>
      <xdr:rowOff>81360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6D9BE9-0B0A-4D25-87C8-9B2712E61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35</xdr:row>
      <xdr:rowOff>308520</xdr:rowOff>
    </xdr:from>
    <xdr:to>
      <xdr:col>17</xdr:col>
      <xdr:colOff>555120</xdr:colOff>
      <xdr:row>49</xdr:row>
      <xdr:rowOff>127080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64463C-1498-41B9-9087-6CE9F665F4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25</xdr:row>
      <xdr:rowOff>0</xdr:rowOff>
    </xdr:from>
    <xdr:to>
      <xdr:col>14</xdr:col>
      <xdr:colOff>345510</xdr:colOff>
      <xdr:row>42</xdr:row>
      <xdr:rowOff>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2D087FF-25EF-4748-AC56-79F980E8B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34</xdr:row>
      <xdr:rowOff>0</xdr:rowOff>
    </xdr:from>
    <xdr:to>
      <xdr:col>11</xdr:col>
      <xdr:colOff>425880</xdr:colOff>
      <xdr:row>51</xdr:row>
      <xdr:rowOff>1080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7CCC5F-AB81-4E4D-82A5-CD77CDE1F8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489857</xdr:colOff>
      <xdr:row>16</xdr:row>
      <xdr:rowOff>127000</xdr:rowOff>
    </xdr:from>
    <xdr:to>
      <xdr:col>18</xdr:col>
      <xdr:colOff>236440</xdr:colOff>
      <xdr:row>33</xdr:row>
      <xdr:rowOff>119009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FA4968-2BFD-4526-A051-AFC3F145EA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83C1D-1EAB-4F00-92E2-1BECCAB6554E}">
  <dimension ref="A1:K38"/>
  <sheetViews>
    <sheetView zoomScale="85" zoomScaleNormal="85" workbookViewId="0">
      <pane ySplit="4" topLeftCell="A28" activePane="bottomLeft" state="frozen"/>
      <selection pane="bottomLeft" activeCell="P12" sqref="P12"/>
    </sheetView>
  </sheetViews>
  <sheetFormatPr baseColWidth="10" defaultColWidth="8.6328125" defaultRowHeight="14.5" x14ac:dyDescent="0.35"/>
  <cols>
    <col min="1" max="1" width="12" style="1" customWidth="1"/>
    <col min="2" max="6" width="9" style="1" customWidth="1"/>
    <col min="7" max="7" width="12" style="1" customWidth="1"/>
    <col min="8" max="8" width="10" style="1" customWidth="1"/>
    <col min="9" max="9" width="3" style="1" customWidth="1"/>
    <col min="10" max="10" width="18" style="1" customWidth="1"/>
    <col min="11" max="11" width="14" style="1" customWidth="1"/>
    <col min="12" max="16384" width="8.6328125" style="1"/>
  </cols>
  <sheetData>
    <row r="1" spans="1:11" ht="25.5" customHeight="1" x14ac:dyDescent="0.35">
      <c r="A1" s="26" t="s">
        <v>1</v>
      </c>
      <c r="B1" s="26"/>
      <c r="C1" s="26"/>
      <c r="D1" s="26"/>
      <c r="E1" s="26"/>
      <c r="F1" s="26"/>
      <c r="G1" s="26"/>
      <c r="H1" s="26"/>
    </row>
    <row r="2" spans="1:11" x14ac:dyDescent="0.35">
      <c r="A2" s="27" t="s">
        <v>2</v>
      </c>
      <c r="B2" s="27"/>
      <c r="C2" s="27"/>
      <c r="D2" s="27"/>
      <c r="E2" s="27"/>
      <c r="F2" s="27"/>
      <c r="G2" s="27"/>
      <c r="H2" s="27"/>
    </row>
    <row r="4" spans="1:11" x14ac:dyDescent="0.3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J4" s="28" t="s">
        <v>11</v>
      </c>
      <c r="K4" s="28"/>
    </row>
    <row r="5" spans="1:11" x14ac:dyDescent="0.35">
      <c r="A5" s="3">
        <v>1</v>
      </c>
      <c r="B5" s="4">
        <v>44</v>
      </c>
      <c r="C5" s="4">
        <v>46</v>
      </c>
      <c r="D5" s="4">
        <v>45</v>
      </c>
      <c r="E5" s="4">
        <v>43</v>
      </c>
      <c r="F5" s="4">
        <v>47</v>
      </c>
      <c r="G5" s="5">
        <f t="shared" ref="G5:G16" si="0">AVERAGE(B5:F5)</f>
        <v>45</v>
      </c>
      <c r="H5" s="5">
        <f t="shared" ref="H5:H16" si="1">MAX(B5:F5)-MIN(B5:F5)</f>
        <v>4</v>
      </c>
      <c r="J5" s="6" t="s">
        <v>12</v>
      </c>
      <c r="K5" s="7">
        <v>0.57699999999999996</v>
      </c>
    </row>
    <row r="6" spans="1:11" x14ac:dyDescent="0.35">
      <c r="A6" s="8">
        <v>2</v>
      </c>
      <c r="B6" s="9">
        <v>45</v>
      </c>
      <c r="C6" s="9">
        <v>44</v>
      </c>
      <c r="D6" s="9">
        <v>46</v>
      </c>
      <c r="E6" s="9">
        <v>45</v>
      </c>
      <c r="F6" s="9">
        <v>44</v>
      </c>
      <c r="G6" s="10">
        <f t="shared" si="0"/>
        <v>44.8</v>
      </c>
      <c r="H6" s="10">
        <f t="shared" si="1"/>
        <v>2</v>
      </c>
      <c r="J6" s="6" t="s">
        <v>13</v>
      </c>
      <c r="K6" s="7">
        <v>0</v>
      </c>
    </row>
    <row r="7" spans="1:11" x14ac:dyDescent="0.35">
      <c r="A7" s="3">
        <v>3</v>
      </c>
      <c r="B7" s="4">
        <v>46</v>
      </c>
      <c r="C7" s="4">
        <v>45</v>
      </c>
      <c r="D7" s="4">
        <v>47</v>
      </c>
      <c r="E7" s="4">
        <v>44</v>
      </c>
      <c r="F7" s="4">
        <v>46</v>
      </c>
      <c r="G7" s="5">
        <f t="shared" si="0"/>
        <v>45.6</v>
      </c>
      <c r="H7" s="5">
        <f t="shared" si="1"/>
        <v>3</v>
      </c>
      <c r="J7" s="6" t="s">
        <v>14</v>
      </c>
      <c r="K7" s="7">
        <v>2.1139999999999999</v>
      </c>
    </row>
    <row r="8" spans="1:11" x14ac:dyDescent="0.35">
      <c r="A8" s="8">
        <v>4</v>
      </c>
      <c r="B8" s="9">
        <v>43</v>
      </c>
      <c r="C8" s="9">
        <v>45</v>
      </c>
      <c r="D8" s="9">
        <v>44</v>
      </c>
      <c r="E8" s="9">
        <v>46</v>
      </c>
      <c r="F8" s="9">
        <v>45</v>
      </c>
      <c r="G8" s="10">
        <f t="shared" si="0"/>
        <v>44.6</v>
      </c>
      <c r="H8" s="10">
        <f t="shared" si="1"/>
        <v>3</v>
      </c>
      <c r="J8" s="6" t="s">
        <v>15</v>
      </c>
      <c r="K8" s="7">
        <v>2.3260000000000001</v>
      </c>
    </row>
    <row r="9" spans="1:11" x14ac:dyDescent="0.35">
      <c r="A9" s="3">
        <v>5</v>
      </c>
      <c r="B9" s="4">
        <v>45</v>
      </c>
      <c r="C9" s="4">
        <v>46</v>
      </c>
      <c r="D9" s="4">
        <v>44</v>
      </c>
      <c r="E9" s="4">
        <v>45</v>
      </c>
      <c r="F9" s="4">
        <v>44</v>
      </c>
      <c r="G9" s="5">
        <f t="shared" si="0"/>
        <v>44.8</v>
      </c>
      <c r="H9" s="5">
        <f t="shared" si="1"/>
        <v>2</v>
      </c>
    </row>
    <row r="10" spans="1:11" x14ac:dyDescent="0.35">
      <c r="A10" s="8">
        <v>6</v>
      </c>
      <c r="B10" s="9">
        <v>47</v>
      </c>
      <c r="C10" s="9">
        <v>46</v>
      </c>
      <c r="D10" s="9">
        <v>48</v>
      </c>
      <c r="E10" s="9">
        <v>45</v>
      </c>
      <c r="F10" s="9">
        <v>47</v>
      </c>
      <c r="G10" s="10">
        <f t="shared" si="0"/>
        <v>46.6</v>
      </c>
      <c r="H10" s="10">
        <f t="shared" si="1"/>
        <v>3</v>
      </c>
      <c r="J10" s="28" t="s">
        <v>16</v>
      </c>
      <c r="K10" s="28"/>
    </row>
    <row r="11" spans="1:11" ht="15.5" x14ac:dyDescent="0.35">
      <c r="A11" s="3">
        <v>7</v>
      </c>
      <c r="B11" s="4">
        <v>44</v>
      </c>
      <c r="C11" s="4">
        <v>43</v>
      </c>
      <c r="D11" s="4">
        <v>45</v>
      </c>
      <c r="E11" s="4">
        <v>44</v>
      </c>
      <c r="F11" s="4">
        <v>42</v>
      </c>
      <c r="G11" s="5">
        <f t="shared" si="0"/>
        <v>43.6</v>
      </c>
      <c r="H11" s="5">
        <f t="shared" si="1"/>
        <v>3</v>
      </c>
      <c r="J11" s="6" t="s">
        <v>17</v>
      </c>
      <c r="K11" s="11">
        <f>AVERAGE(G5:G16)</f>
        <v>45.283333333333339</v>
      </c>
    </row>
    <row r="12" spans="1:11" ht="15.5" x14ac:dyDescent="0.35">
      <c r="A12" s="8">
        <v>8</v>
      </c>
      <c r="B12" s="9">
        <v>46</v>
      </c>
      <c r="C12" s="9">
        <v>45</v>
      </c>
      <c r="D12" s="9">
        <v>47</v>
      </c>
      <c r="E12" s="9">
        <v>46</v>
      </c>
      <c r="F12" s="9">
        <v>45</v>
      </c>
      <c r="G12" s="10">
        <f t="shared" si="0"/>
        <v>45.8</v>
      </c>
      <c r="H12" s="10">
        <f t="shared" si="1"/>
        <v>2</v>
      </c>
      <c r="J12" s="6" t="s">
        <v>18</v>
      </c>
      <c r="K12" s="11">
        <f>AVERAGE(H5:H16)</f>
        <v>2.6666666666666665</v>
      </c>
    </row>
    <row r="13" spans="1:11" ht="15.5" x14ac:dyDescent="0.35">
      <c r="A13" s="3">
        <v>9</v>
      </c>
      <c r="B13" s="4">
        <v>45</v>
      </c>
      <c r="C13" s="4">
        <v>44</v>
      </c>
      <c r="D13" s="4">
        <v>46</v>
      </c>
      <c r="E13" s="4">
        <v>45</v>
      </c>
      <c r="F13" s="4">
        <v>46</v>
      </c>
      <c r="G13" s="5">
        <f t="shared" si="0"/>
        <v>45.2</v>
      </c>
      <c r="H13" s="5">
        <f t="shared" si="1"/>
        <v>2</v>
      </c>
      <c r="J13" s="6" t="s">
        <v>19</v>
      </c>
      <c r="K13" s="11">
        <f>K11</f>
        <v>45.283333333333339</v>
      </c>
    </row>
    <row r="14" spans="1:11" ht="15.5" x14ac:dyDescent="0.35">
      <c r="A14" s="8">
        <v>10</v>
      </c>
      <c r="B14" s="9">
        <v>48</v>
      </c>
      <c r="C14" s="9">
        <v>47</v>
      </c>
      <c r="D14" s="9">
        <v>49</v>
      </c>
      <c r="E14" s="9">
        <v>48</v>
      </c>
      <c r="F14" s="9">
        <v>46</v>
      </c>
      <c r="G14" s="10">
        <f t="shared" si="0"/>
        <v>47.6</v>
      </c>
      <c r="H14" s="10">
        <f t="shared" si="1"/>
        <v>3</v>
      </c>
      <c r="J14" s="6" t="s">
        <v>20</v>
      </c>
      <c r="K14" s="11">
        <f>K11+K5*K12</f>
        <v>46.822000000000003</v>
      </c>
    </row>
    <row r="15" spans="1:11" ht="15.5" x14ac:dyDescent="0.35">
      <c r="A15" s="3">
        <v>11</v>
      </c>
      <c r="B15" s="4">
        <v>44</v>
      </c>
      <c r="C15" s="4">
        <v>45</v>
      </c>
      <c r="D15" s="4">
        <v>43</v>
      </c>
      <c r="E15" s="4">
        <v>44</v>
      </c>
      <c r="F15" s="4">
        <v>45</v>
      </c>
      <c r="G15" s="5">
        <f t="shared" si="0"/>
        <v>44.2</v>
      </c>
      <c r="H15" s="5">
        <f t="shared" si="1"/>
        <v>2</v>
      </c>
      <c r="J15" s="6" t="s">
        <v>21</v>
      </c>
      <c r="K15" s="11">
        <f>K11-K5*K12</f>
        <v>43.744666666666674</v>
      </c>
    </row>
    <row r="16" spans="1:11" ht="15.5" x14ac:dyDescent="0.35">
      <c r="A16" s="8">
        <v>12</v>
      </c>
      <c r="B16" s="9">
        <v>46</v>
      </c>
      <c r="C16" s="9">
        <v>47</v>
      </c>
      <c r="D16" s="9">
        <v>45</v>
      </c>
      <c r="E16" s="9">
        <v>46</v>
      </c>
      <c r="F16" s="9">
        <v>44</v>
      </c>
      <c r="G16" s="10">
        <f t="shared" si="0"/>
        <v>45.6</v>
      </c>
      <c r="H16" s="10">
        <f t="shared" si="1"/>
        <v>3</v>
      </c>
      <c r="J16" s="6" t="s">
        <v>22</v>
      </c>
      <c r="K16" s="11">
        <f>K12</f>
        <v>2.6666666666666665</v>
      </c>
    </row>
    <row r="17" spans="1:11" ht="15.5" x14ac:dyDescent="0.35">
      <c r="J17" s="6" t="s">
        <v>23</v>
      </c>
      <c r="K17" s="11">
        <f>K7*K12</f>
        <v>5.6373333333333324</v>
      </c>
    </row>
    <row r="18" spans="1:11" ht="15.5" x14ac:dyDescent="0.35">
      <c r="J18" s="6" t="s">
        <v>24</v>
      </c>
      <c r="K18" s="11">
        <f>K6*K12</f>
        <v>0</v>
      </c>
    </row>
    <row r="19" spans="1:11" ht="15.5" x14ac:dyDescent="0.35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  <c r="F19" s="2" t="s">
        <v>30</v>
      </c>
      <c r="J19" s="6" t="s">
        <v>31</v>
      </c>
      <c r="K19" s="11">
        <f>K12/K8</f>
        <v>1.1464603038119805</v>
      </c>
    </row>
    <row r="20" spans="1:11" x14ac:dyDescent="0.35">
      <c r="A20" s="12">
        <f t="shared" ref="A20:A31" si="2">$K$13</f>
        <v>45.283333333333339</v>
      </c>
      <c r="B20" s="12">
        <f t="shared" ref="B20:B31" si="3">$K$14</f>
        <v>46.822000000000003</v>
      </c>
      <c r="C20" s="12">
        <f t="shared" ref="C20:C31" si="4">$K$15</f>
        <v>43.744666666666674</v>
      </c>
      <c r="D20" s="12">
        <f t="shared" ref="D20:D31" si="5">$K$16</f>
        <v>2.6666666666666665</v>
      </c>
      <c r="E20" s="12">
        <f t="shared" ref="E20:E31" si="6">$K$17</f>
        <v>5.6373333333333324</v>
      </c>
      <c r="F20" s="12">
        <f t="shared" ref="F20:F31" si="7">$K$18</f>
        <v>0</v>
      </c>
    </row>
    <row r="21" spans="1:11" x14ac:dyDescent="0.35">
      <c r="A21" s="12">
        <f t="shared" si="2"/>
        <v>45.283333333333339</v>
      </c>
      <c r="B21" s="12">
        <f t="shared" si="3"/>
        <v>46.822000000000003</v>
      </c>
      <c r="C21" s="12">
        <f t="shared" si="4"/>
        <v>43.744666666666674</v>
      </c>
      <c r="D21" s="12">
        <f t="shared" si="5"/>
        <v>2.6666666666666665</v>
      </c>
      <c r="E21" s="12">
        <f t="shared" si="6"/>
        <v>5.6373333333333324</v>
      </c>
      <c r="F21" s="12">
        <f t="shared" si="7"/>
        <v>0</v>
      </c>
    </row>
    <row r="22" spans="1:11" x14ac:dyDescent="0.35">
      <c r="A22" s="12">
        <f t="shared" si="2"/>
        <v>45.283333333333339</v>
      </c>
      <c r="B22" s="12">
        <f t="shared" si="3"/>
        <v>46.822000000000003</v>
      </c>
      <c r="C22" s="12">
        <f t="shared" si="4"/>
        <v>43.744666666666674</v>
      </c>
      <c r="D22" s="12">
        <f t="shared" si="5"/>
        <v>2.6666666666666665</v>
      </c>
      <c r="E22" s="12">
        <f t="shared" si="6"/>
        <v>5.6373333333333324</v>
      </c>
      <c r="F22" s="12">
        <f t="shared" si="7"/>
        <v>0</v>
      </c>
    </row>
    <row r="23" spans="1:11" x14ac:dyDescent="0.35">
      <c r="A23" s="12">
        <f t="shared" si="2"/>
        <v>45.283333333333339</v>
      </c>
      <c r="B23" s="12">
        <f t="shared" si="3"/>
        <v>46.822000000000003</v>
      </c>
      <c r="C23" s="12">
        <f t="shared" si="4"/>
        <v>43.744666666666674</v>
      </c>
      <c r="D23" s="12">
        <f t="shared" si="5"/>
        <v>2.6666666666666665</v>
      </c>
      <c r="E23" s="12">
        <f t="shared" si="6"/>
        <v>5.6373333333333324</v>
      </c>
      <c r="F23" s="12">
        <f t="shared" si="7"/>
        <v>0</v>
      </c>
    </row>
    <row r="24" spans="1:11" x14ac:dyDescent="0.35">
      <c r="A24" s="12">
        <f t="shared" si="2"/>
        <v>45.283333333333339</v>
      </c>
      <c r="B24" s="12">
        <f t="shared" si="3"/>
        <v>46.822000000000003</v>
      </c>
      <c r="C24" s="12">
        <f t="shared" si="4"/>
        <v>43.744666666666674</v>
      </c>
      <c r="D24" s="12">
        <f t="shared" si="5"/>
        <v>2.6666666666666665</v>
      </c>
      <c r="E24" s="12">
        <f t="shared" si="6"/>
        <v>5.6373333333333324</v>
      </c>
      <c r="F24" s="12">
        <f t="shared" si="7"/>
        <v>0</v>
      </c>
    </row>
    <row r="25" spans="1:11" x14ac:dyDescent="0.35">
      <c r="A25" s="12">
        <f t="shared" si="2"/>
        <v>45.283333333333339</v>
      </c>
      <c r="B25" s="12">
        <f t="shared" si="3"/>
        <v>46.822000000000003</v>
      </c>
      <c r="C25" s="12">
        <f t="shared" si="4"/>
        <v>43.744666666666674</v>
      </c>
      <c r="D25" s="12">
        <f t="shared" si="5"/>
        <v>2.6666666666666665</v>
      </c>
      <c r="E25" s="12">
        <f t="shared" si="6"/>
        <v>5.6373333333333324</v>
      </c>
      <c r="F25" s="12">
        <f t="shared" si="7"/>
        <v>0</v>
      </c>
    </row>
    <row r="26" spans="1:11" x14ac:dyDescent="0.35">
      <c r="A26" s="12">
        <f t="shared" si="2"/>
        <v>45.283333333333339</v>
      </c>
      <c r="B26" s="12">
        <f t="shared" si="3"/>
        <v>46.822000000000003</v>
      </c>
      <c r="C26" s="12">
        <f t="shared" si="4"/>
        <v>43.744666666666674</v>
      </c>
      <c r="D26" s="12">
        <f t="shared" si="5"/>
        <v>2.6666666666666665</v>
      </c>
      <c r="E26" s="12">
        <f t="shared" si="6"/>
        <v>5.6373333333333324</v>
      </c>
      <c r="F26" s="12">
        <f t="shared" si="7"/>
        <v>0</v>
      </c>
    </row>
    <row r="27" spans="1:11" x14ac:dyDescent="0.35">
      <c r="A27" s="12">
        <f t="shared" si="2"/>
        <v>45.283333333333339</v>
      </c>
      <c r="B27" s="12">
        <f t="shared" si="3"/>
        <v>46.822000000000003</v>
      </c>
      <c r="C27" s="12">
        <f t="shared" si="4"/>
        <v>43.744666666666674</v>
      </c>
      <c r="D27" s="12">
        <f t="shared" si="5"/>
        <v>2.6666666666666665</v>
      </c>
      <c r="E27" s="12">
        <f t="shared" si="6"/>
        <v>5.6373333333333324</v>
      </c>
      <c r="F27" s="12">
        <f t="shared" si="7"/>
        <v>0</v>
      </c>
    </row>
    <row r="28" spans="1:11" x14ac:dyDescent="0.35">
      <c r="A28" s="12">
        <f t="shared" si="2"/>
        <v>45.283333333333339</v>
      </c>
      <c r="B28" s="12">
        <f t="shared" si="3"/>
        <v>46.822000000000003</v>
      </c>
      <c r="C28" s="12">
        <f t="shared" si="4"/>
        <v>43.744666666666674</v>
      </c>
      <c r="D28" s="12">
        <f t="shared" si="5"/>
        <v>2.6666666666666665</v>
      </c>
      <c r="E28" s="12">
        <f t="shared" si="6"/>
        <v>5.6373333333333324</v>
      </c>
      <c r="F28" s="12">
        <f t="shared" si="7"/>
        <v>0</v>
      </c>
    </row>
    <row r="29" spans="1:11" x14ac:dyDescent="0.35">
      <c r="A29" s="12">
        <f t="shared" si="2"/>
        <v>45.283333333333339</v>
      </c>
      <c r="B29" s="12">
        <f t="shared" si="3"/>
        <v>46.822000000000003</v>
      </c>
      <c r="C29" s="12">
        <f t="shared" si="4"/>
        <v>43.744666666666674</v>
      </c>
      <c r="D29" s="12">
        <f t="shared" si="5"/>
        <v>2.6666666666666665</v>
      </c>
      <c r="E29" s="12">
        <f t="shared" si="6"/>
        <v>5.6373333333333324</v>
      </c>
      <c r="F29" s="12">
        <f t="shared" si="7"/>
        <v>0</v>
      </c>
    </row>
    <row r="30" spans="1:11" x14ac:dyDescent="0.35">
      <c r="A30" s="12">
        <f t="shared" si="2"/>
        <v>45.283333333333339</v>
      </c>
      <c r="B30" s="12">
        <f t="shared" si="3"/>
        <v>46.822000000000003</v>
      </c>
      <c r="C30" s="12">
        <f t="shared" si="4"/>
        <v>43.744666666666674</v>
      </c>
      <c r="D30" s="12">
        <f t="shared" si="5"/>
        <v>2.6666666666666665</v>
      </c>
      <c r="E30" s="12">
        <f t="shared" si="6"/>
        <v>5.6373333333333324</v>
      </c>
      <c r="F30" s="12">
        <f t="shared" si="7"/>
        <v>0</v>
      </c>
    </row>
    <row r="31" spans="1:11" x14ac:dyDescent="0.35">
      <c r="A31" s="12">
        <f t="shared" si="2"/>
        <v>45.283333333333339</v>
      </c>
      <c r="B31" s="12">
        <f t="shared" si="3"/>
        <v>46.822000000000003</v>
      </c>
      <c r="C31" s="12">
        <f t="shared" si="4"/>
        <v>43.744666666666674</v>
      </c>
      <c r="D31" s="12">
        <f t="shared" si="5"/>
        <v>2.6666666666666665</v>
      </c>
      <c r="E31" s="12">
        <f t="shared" si="6"/>
        <v>5.6373333333333324</v>
      </c>
      <c r="F31" s="12">
        <f t="shared" si="7"/>
        <v>0</v>
      </c>
    </row>
    <row r="33" spans="1:8" x14ac:dyDescent="0.35">
      <c r="A33" s="28" t="s">
        <v>32</v>
      </c>
      <c r="B33" s="28"/>
      <c r="C33" s="28"/>
      <c r="D33" s="28"/>
      <c r="E33" s="28"/>
      <c r="F33" s="28"/>
      <c r="G33" s="28"/>
      <c r="H33" s="28"/>
    </row>
    <row r="34" spans="1:8" ht="25.4" customHeight="1" x14ac:dyDescent="0.35">
      <c r="A34" s="25" t="s">
        <v>33</v>
      </c>
      <c r="B34" s="25"/>
      <c r="C34" s="25"/>
      <c r="D34" s="25"/>
      <c r="E34" s="25"/>
      <c r="F34" s="25"/>
      <c r="G34" s="25"/>
      <c r="H34" s="25"/>
    </row>
    <row r="35" spans="1:8" ht="25.4" customHeight="1" x14ac:dyDescent="0.35">
      <c r="A35" s="25" t="s">
        <v>34</v>
      </c>
      <c r="B35" s="25"/>
      <c r="C35" s="25"/>
      <c r="D35" s="25"/>
      <c r="E35" s="25"/>
      <c r="F35" s="25"/>
      <c r="G35" s="25"/>
      <c r="H35" s="25"/>
    </row>
    <row r="36" spans="1:8" ht="25.4" customHeight="1" x14ac:dyDescent="0.35">
      <c r="A36" s="25" t="s">
        <v>35</v>
      </c>
      <c r="B36" s="25"/>
      <c r="C36" s="25"/>
      <c r="D36" s="25"/>
      <c r="E36" s="25"/>
      <c r="F36" s="25"/>
      <c r="G36" s="25"/>
      <c r="H36" s="25"/>
    </row>
    <row r="37" spans="1:8" ht="25.4" customHeight="1" x14ac:dyDescent="0.35">
      <c r="A37" s="25" t="s">
        <v>36</v>
      </c>
      <c r="B37" s="25"/>
      <c r="C37" s="25"/>
      <c r="D37" s="25"/>
      <c r="E37" s="25"/>
      <c r="F37" s="25"/>
      <c r="G37" s="25"/>
      <c r="H37" s="25"/>
    </row>
    <row r="38" spans="1:8" ht="25.4" customHeight="1" x14ac:dyDescent="0.35">
      <c r="A38" s="25" t="s">
        <v>37</v>
      </c>
      <c r="B38" s="25"/>
      <c r="C38" s="25"/>
      <c r="D38" s="25"/>
      <c r="E38" s="25"/>
      <c r="F38" s="25"/>
      <c r="G38" s="25"/>
      <c r="H38" s="25"/>
    </row>
  </sheetData>
  <mergeCells count="10">
    <mergeCell ref="J4:K4"/>
    <mergeCell ref="J10:K10"/>
    <mergeCell ref="A33:H33"/>
    <mergeCell ref="A34:H34"/>
    <mergeCell ref="A35:H35"/>
    <mergeCell ref="A36:H36"/>
    <mergeCell ref="A37:H37"/>
    <mergeCell ref="A38:H38"/>
    <mergeCell ref="A1:H1"/>
    <mergeCell ref="A2:H2"/>
  </mergeCells>
  <conditionalFormatting sqref="G5:G16">
    <cfRule type="cellIs" dxfId="5" priority="1" operator="greaterThan">
      <formula>$K$14</formula>
    </cfRule>
    <cfRule type="cellIs" dxfId="4" priority="2" operator="lessThan">
      <formula>$K$15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C4105-3CB6-47E8-99A2-790B25507C30}">
  <dimension ref="A1:G57"/>
  <sheetViews>
    <sheetView zoomScaleNormal="100" workbookViewId="0">
      <pane ySplit="4" topLeftCell="A25" activePane="bottomLeft" state="frozen"/>
      <selection pane="bottomLeft" activeCell="B24" sqref="B24"/>
    </sheetView>
  </sheetViews>
  <sheetFormatPr baseColWidth="10" defaultColWidth="8.6328125" defaultRowHeight="14.5" x14ac:dyDescent="0.35"/>
  <cols>
    <col min="1" max="1" width="8" style="1" customWidth="1"/>
    <col min="2" max="2" width="16" style="1" customWidth="1"/>
    <col min="3" max="4" width="10" style="1" customWidth="1"/>
    <col min="5" max="5" width="3" style="1" customWidth="1"/>
    <col min="6" max="6" width="22.36328125" style="1" bestFit="1" customWidth="1"/>
    <col min="7" max="7" width="8.7265625" style="1" bestFit="1" customWidth="1"/>
    <col min="8" max="9" width="3" style="1" customWidth="1"/>
    <col min="10" max="10" width="20" style="1" customWidth="1"/>
    <col min="11" max="11" width="14" style="1" customWidth="1"/>
    <col min="12" max="16384" width="8.6328125" style="1"/>
  </cols>
  <sheetData>
    <row r="1" spans="1:7" ht="25.5" customHeight="1" x14ac:dyDescent="0.35">
      <c r="A1" s="26" t="s">
        <v>38</v>
      </c>
      <c r="B1" s="26"/>
      <c r="C1" s="26"/>
      <c r="D1" s="26"/>
    </row>
    <row r="2" spans="1:7" x14ac:dyDescent="0.35">
      <c r="A2" s="27" t="s">
        <v>39</v>
      </c>
      <c r="B2" s="27"/>
      <c r="C2" s="27"/>
      <c r="D2" s="27"/>
    </row>
    <row r="4" spans="1:7" x14ac:dyDescent="0.35">
      <c r="A4" s="2" t="s">
        <v>0</v>
      </c>
      <c r="B4" s="2" t="s">
        <v>40</v>
      </c>
      <c r="C4" s="2" t="s">
        <v>41</v>
      </c>
      <c r="D4" s="2" t="s">
        <v>42</v>
      </c>
      <c r="F4" s="28" t="s">
        <v>43</v>
      </c>
      <c r="G4" s="28"/>
    </row>
    <row r="5" spans="1:7" ht="15.5" x14ac:dyDescent="0.35">
      <c r="A5" s="3">
        <v>1</v>
      </c>
      <c r="B5" s="4">
        <v>50</v>
      </c>
      <c r="C5" s="4">
        <v>3</v>
      </c>
      <c r="D5" s="13">
        <f t="shared" ref="D5:D22" si="0">C5/B5</f>
        <v>0.06</v>
      </c>
      <c r="F5" s="6" t="s">
        <v>44</v>
      </c>
      <c r="G5" s="14">
        <f>SUM(C5:C22)</f>
        <v>59</v>
      </c>
    </row>
    <row r="6" spans="1:7" ht="15.5" x14ac:dyDescent="0.35">
      <c r="A6" s="8">
        <v>2</v>
      </c>
      <c r="B6" s="9">
        <v>45</v>
      </c>
      <c r="C6" s="9">
        <v>2</v>
      </c>
      <c r="D6" s="15">
        <f t="shared" si="0"/>
        <v>4.4444444444444446E-2</v>
      </c>
      <c r="F6" s="6" t="s">
        <v>45</v>
      </c>
      <c r="G6" s="14">
        <f>SUM(B5:B22)</f>
        <v>927</v>
      </c>
    </row>
    <row r="7" spans="1:7" ht="15.5" x14ac:dyDescent="0.35">
      <c r="A7" s="3">
        <v>3</v>
      </c>
      <c r="B7" s="4">
        <v>55</v>
      </c>
      <c r="C7" s="4">
        <v>4</v>
      </c>
      <c r="D7" s="13">
        <f t="shared" si="0"/>
        <v>7.2727272727272724E-2</v>
      </c>
      <c r="F7" s="6" t="s">
        <v>46</v>
      </c>
      <c r="G7" s="14">
        <f>COUNT(A5:A22)</f>
        <v>18</v>
      </c>
    </row>
    <row r="8" spans="1:7" ht="15.5" x14ac:dyDescent="0.35">
      <c r="A8" s="8">
        <v>4</v>
      </c>
      <c r="B8" s="9">
        <v>48</v>
      </c>
      <c r="C8" s="9">
        <v>3</v>
      </c>
      <c r="D8" s="15">
        <f t="shared" si="0"/>
        <v>6.25E-2</v>
      </c>
      <c r="F8" s="6" t="s">
        <v>47</v>
      </c>
      <c r="G8" s="16">
        <f>G5/G6</f>
        <v>6.3646170442286945E-2</v>
      </c>
    </row>
    <row r="9" spans="1:7" ht="15.5" x14ac:dyDescent="0.35">
      <c r="A9" s="3">
        <v>5</v>
      </c>
      <c r="B9" s="4">
        <v>52</v>
      </c>
      <c r="C9" s="4">
        <v>2</v>
      </c>
      <c r="D9" s="13">
        <f t="shared" si="0"/>
        <v>3.8461538461538464E-2</v>
      </c>
      <c r="F9" s="6" t="s">
        <v>48</v>
      </c>
      <c r="G9" s="16">
        <f>G6/G7</f>
        <v>51.5</v>
      </c>
    </row>
    <row r="10" spans="1:7" ht="15.5" x14ac:dyDescent="0.35">
      <c r="A10" s="8">
        <v>6</v>
      </c>
      <c r="B10" s="9">
        <v>60</v>
      </c>
      <c r="C10" s="9">
        <v>5</v>
      </c>
      <c r="D10" s="15">
        <f t="shared" si="0"/>
        <v>8.3333333333333329E-2</v>
      </c>
      <c r="F10" s="6" t="s">
        <v>49</v>
      </c>
      <c r="G10" s="17">
        <f>SQRT(G8/G9)</f>
        <v>3.5154629421359919E-2</v>
      </c>
    </row>
    <row r="11" spans="1:7" ht="15.5" x14ac:dyDescent="0.35">
      <c r="A11" s="3">
        <v>7</v>
      </c>
      <c r="B11" s="4">
        <v>47</v>
      </c>
      <c r="C11" s="4">
        <v>3</v>
      </c>
      <c r="D11" s="13">
        <f t="shared" si="0"/>
        <v>6.3829787234042548E-2</v>
      </c>
      <c r="F11" s="6" t="s">
        <v>50</v>
      </c>
      <c r="G11" s="16">
        <f>G8+3*G10</f>
        <v>0.16911005870636669</v>
      </c>
    </row>
    <row r="12" spans="1:7" ht="15.5" x14ac:dyDescent="0.35">
      <c r="A12" s="8">
        <v>8</v>
      </c>
      <c r="B12" s="9">
        <v>50</v>
      </c>
      <c r="C12" s="9">
        <v>4</v>
      </c>
      <c r="D12" s="15">
        <f t="shared" si="0"/>
        <v>0.08</v>
      </c>
      <c r="F12" s="6" t="s">
        <v>51</v>
      </c>
      <c r="G12" s="16">
        <f>MAX(0,G8-3*G10)</f>
        <v>0</v>
      </c>
    </row>
    <row r="13" spans="1:7" x14ac:dyDescent="0.35">
      <c r="A13" s="3">
        <v>9</v>
      </c>
      <c r="B13" s="4">
        <v>44</v>
      </c>
      <c r="C13" s="4">
        <v>2</v>
      </c>
      <c r="D13" s="13">
        <f t="shared" si="0"/>
        <v>4.5454545454545456E-2</v>
      </c>
    </row>
    <row r="14" spans="1:7" x14ac:dyDescent="0.35">
      <c r="A14" s="8">
        <v>10</v>
      </c>
      <c r="B14" s="9">
        <v>58</v>
      </c>
      <c r="C14" s="9">
        <v>5</v>
      </c>
      <c r="D14" s="15">
        <f t="shared" si="0"/>
        <v>8.6206896551724144E-2</v>
      </c>
    </row>
    <row r="15" spans="1:7" x14ac:dyDescent="0.35">
      <c r="A15" s="3">
        <v>11</v>
      </c>
      <c r="B15" s="4">
        <v>53</v>
      </c>
      <c r="C15" s="4">
        <v>3</v>
      </c>
      <c r="D15" s="13">
        <f t="shared" si="0"/>
        <v>5.6603773584905662E-2</v>
      </c>
    </row>
    <row r="16" spans="1:7" x14ac:dyDescent="0.35">
      <c r="A16" s="8">
        <v>12</v>
      </c>
      <c r="B16" s="9">
        <v>49</v>
      </c>
      <c r="C16" s="9">
        <v>2</v>
      </c>
      <c r="D16" s="15">
        <f t="shared" si="0"/>
        <v>4.0816326530612242E-2</v>
      </c>
    </row>
    <row r="17" spans="1:4" x14ac:dyDescent="0.35">
      <c r="A17" s="3">
        <v>13</v>
      </c>
      <c r="B17" s="4">
        <v>56</v>
      </c>
      <c r="C17" s="4">
        <v>4</v>
      </c>
      <c r="D17" s="13">
        <f t="shared" si="0"/>
        <v>7.1428571428571425E-2</v>
      </c>
    </row>
    <row r="18" spans="1:4" x14ac:dyDescent="0.35">
      <c r="A18" s="8">
        <v>14</v>
      </c>
      <c r="B18" s="9">
        <v>51</v>
      </c>
      <c r="C18" s="9">
        <v>3</v>
      </c>
      <c r="D18" s="15">
        <f t="shared" si="0"/>
        <v>5.8823529411764705E-2</v>
      </c>
    </row>
    <row r="19" spans="1:4" x14ac:dyDescent="0.35">
      <c r="A19" s="3">
        <v>15</v>
      </c>
      <c r="B19" s="4">
        <v>46</v>
      </c>
      <c r="C19" s="4">
        <v>2</v>
      </c>
      <c r="D19" s="13">
        <f t="shared" si="0"/>
        <v>4.3478260869565216E-2</v>
      </c>
    </row>
    <row r="20" spans="1:4" x14ac:dyDescent="0.35">
      <c r="A20" s="8">
        <v>16</v>
      </c>
      <c r="B20" s="9">
        <v>59</v>
      </c>
      <c r="C20" s="9">
        <v>6</v>
      </c>
      <c r="D20" s="15">
        <f t="shared" si="0"/>
        <v>0.10169491525423729</v>
      </c>
    </row>
    <row r="21" spans="1:4" x14ac:dyDescent="0.35">
      <c r="A21" s="3">
        <v>17</v>
      </c>
      <c r="B21" s="4">
        <v>54</v>
      </c>
      <c r="C21" s="4">
        <v>3</v>
      </c>
      <c r="D21" s="13">
        <f t="shared" si="0"/>
        <v>5.5555555555555552E-2</v>
      </c>
    </row>
    <row r="22" spans="1:4" x14ac:dyDescent="0.35">
      <c r="A22" s="8">
        <v>18</v>
      </c>
      <c r="B22" s="9">
        <v>50</v>
      </c>
      <c r="C22" s="9">
        <v>3</v>
      </c>
      <c r="D22" s="15">
        <f t="shared" si="0"/>
        <v>0.06</v>
      </c>
    </row>
    <row r="23" spans="1:4" x14ac:dyDescent="0.35">
      <c r="B23" s="1">
        <f>AVERAGE(B5:B22)</f>
        <v>51.5</v>
      </c>
    </row>
    <row r="25" spans="1:4" x14ac:dyDescent="0.35">
      <c r="A25" s="2" t="s">
        <v>52</v>
      </c>
      <c r="B25" s="2" t="s">
        <v>53</v>
      </c>
      <c r="C25" s="2" t="s">
        <v>54</v>
      </c>
    </row>
    <row r="26" spans="1:4" x14ac:dyDescent="0.35">
      <c r="A26" s="18">
        <f t="shared" ref="A26:A43" si="1">$G$8</f>
        <v>6.3646170442286945E-2</v>
      </c>
      <c r="B26" s="18">
        <f t="shared" ref="B26:B43" si="2">$G$11</f>
        <v>0.16911005870636669</v>
      </c>
      <c r="C26" s="18">
        <f t="shared" ref="C26:C43" si="3">$G$12</f>
        <v>0</v>
      </c>
    </row>
    <row r="27" spans="1:4" x14ac:dyDescent="0.35">
      <c r="A27" s="18">
        <f t="shared" si="1"/>
        <v>6.3646170442286945E-2</v>
      </c>
      <c r="B27" s="18">
        <f t="shared" si="2"/>
        <v>0.16911005870636669</v>
      </c>
      <c r="C27" s="18">
        <f t="shared" si="3"/>
        <v>0</v>
      </c>
    </row>
    <row r="28" spans="1:4" x14ac:dyDescent="0.35">
      <c r="A28" s="18">
        <f t="shared" si="1"/>
        <v>6.3646170442286945E-2</v>
      </c>
      <c r="B28" s="18">
        <f t="shared" si="2"/>
        <v>0.16911005870636669</v>
      </c>
      <c r="C28" s="18">
        <f t="shared" si="3"/>
        <v>0</v>
      </c>
    </row>
    <row r="29" spans="1:4" x14ac:dyDescent="0.35">
      <c r="A29" s="18">
        <f t="shared" si="1"/>
        <v>6.3646170442286945E-2</v>
      </c>
      <c r="B29" s="18">
        <f t="shared" si="2"/>
        <v>0.16911005870636669</v>
      </c>
      <c r="C29" s="18">
        <f t="shared" si="3"/>
        <v>0</v>
      </c>
    </row>
    <row r="30" spans="1:4" x14ac:dyDescent="0.35">
      <c r="A30" s="18">
        <f t="shared" si="1"/>
        <v>6.3646170442286945E-2</v>
      </c>
      <c r="B30" s="18">
        <f t="shared" si="2"/>
        <v>0.16911005870636669</v>
      </c>
      <c r="C30" s="18">
        <f t="shared" si="3"/>
        <v>0</v>
      </c>
    </row>
    <row r="31" spans="1:4" x14ac:dyDescent="0.35">
      <c r="A31" s="18">
        <f t="shared" si="1"/>
        <v>6.3646170442286945E-2</v>
      </c>
      <c r="B31" s="18">
        <f t="shared" si="2"/>
        <v>0.16911005870636669</v>
      </c>
      <c r="C31" s="18">
        <f t="shared" si="3"/>
        <v>0</v>
      </c>
    </row>
    <row r="32" spans="1:4" x14ac:dyDescent="0.35">
      <c r="A32" s="18">
        <f t="shared" si="1"/>
        <v>6.3646170442286945E-2</v>
      </c>
      <c r="B32" s="18">
        <f t="shared" si="2"/>
        <v>0.16911005870636669</v>
      </c>
      <c r="C32" s="18">
        <f t="shared" si="3"/>
        <v>0</v>
      </c>
    </row>
    <row r="33" spans="1:4" x14ac:dyDescent="0.35">
      <c r="A33" s="18">
        <f t="shared" si="1"/>
        <v>6.3646170442286945E-2</v>
      </c>
      <c r="B33" s="18">
        <f t="shared" si="2"/>
        <v>0.16911005870636669</v>
      </c>
      <c r="C33" s="18">
        <f t="shared" si="3"/>
        <v>0</v>
      </c>
    </row>
    <row r="34" spans="1:4" x14ac:dyDescent="0.35">
      <c r="A34" s="18">
        <f t="shared" si="1"/>
        <v>6.3646170442286945E-2</v>
      </c>
      <c r="B34" s="18">
        <f t="shared" si="2"/>
        <v>0.16911005870636669</v>
      </c>
      <c r="C34" s="18">
        <f t="shared" si="3"/>
        <v>0</v>
      </c>
    </row>
    <row r="35" spans="1:4" x14ac:dyDescent="0.35">
      <c r="A35" s="18">
        <f t="shared" si="1"/>
        <v>6.3646170442286945E-2</v>
      </c>
      <c r="B35" s="18">
        <f t="shared" si="2"/>
        <v>0.16911005870636669</v>
      </c>
      <c r="C35" s="18">
        <f t="shared" si="3"/>
        <v>0</v>
      </c>
    </row>
    <row r="36" spans="1:4" x14ac:dyDescent="0.35">
      <c r="A36" s="18">
        <f t="shared" si="1"/>
        <v>6.3646170442286945E-2</v>
      </c>
      <c r="B36" s="18">
        <f t="shared" si="2"/>
        <v>0.16911005870636669</v>
      </c>
      <c r="C36" s="18">
        <f t="shared" si="3"/>
        <v>0</v>
      </c>
    </row>
    <row r="37" spans="1:4" x14ac:dyDescent="0.35">
      <c r="A37" s="18">
        <f t="shared" si="1"/>
        <v>6.3646170442286945E-2</v>
      </c>
      <c r="B37" s="18">
        <f t="shared" si="2"/>
        <v>0.16911005870636669</v>
      </c>
      <c r="C37" s="18">
        <f t="shared" si="3"/>
        <v>0</v>
      </c>
    </row>
    <row r="38" spans="1:4" x14ac:dyDescent="0.35">
      <c r="A38" s="18">
        <f t="shared" si="1"/>
        <v>6.3646170442286945E-2</v>
      </c>
      <c r="B38" s="18">
        <f t="shared" si="2"/>
        <v>0.16911005870636669</v>
      </c>
      <c r="C38" s="18">
        <f t="shared" si="3"/>
        <v>0</v>
      </c>
    </row>
    <row r="39" spans="1:4" x14ac:dyDescent="0.35">
      <c r="A39" s="18">
        <f t="shared" si="1"/>
        <v>6.3646170442286945E-2</v>
      </c>
      <c r="B39" s="18">
        <f t="shared" si="2"/>
        <v>0.16911005870636669</v>
      </c>
      <c r="C39" s="18">
        <f t="shared" si="3"/>
        <v>0</v>
      </c>
    </row>
    <row r="40" spans="1:4" x14ac:dyDescent="0.35">
      <c r="A40" s="18">
        <f t="shared" si="1"/>
        <v>6.3646170442286945E-2</v>
      </c>
      <c r="B40" s="18">
        <f t="shared" si="2"/>
        <v>0.16911005870636669</v>
      </c>
      <c r="C40" s="18">
        <f t="shared" si="3"/>
        <v>0</v>
      </c>
    </row>
    <row r="41" spans="1:4" x14ac:dyDescent="0.35">
      <c r="A41" s="18">
        <f t="shared" si="1"/>
        <v>6.3646170442286945E-2</v>
      </c>
      <c r="B41" s="18">
        <f t="shared" si="2"/>
        <v>0.16911005870636669</v>
      </c>
      <c r="C41" s="18">
        <f t="shared" si="3"/>
        <v>0</v>
      </c>
    </row>
    <row r="42" spans="1:4" x14ac:dyDescent="0.35">
      <c r="A42" s="18">
        <f t="shared" si="1"/>
        <v>6.3646170442286945E-2</v>
      </c>
      <c r="B42" s="18">
        <f t="shared" si="2"/>
        <v>0.16911005870636669</v>
      </c>
      <c r="C42" s="18">
        <f t="shared" si="3"/>
        <v>0</v>
      </c>
    </row>
    <row r="43" spans="1:4" x14ac:dyDescent="0.35">
      <c r="A43" s="18">
        <f t="shared" si="1"/>
        <v>6.3646170442286945E-2</v>
      </c>
      <c r="B43" s="18">
        <f t="shared" si="2"/>
        <v>0.16911005870636669</v>
      </c>
      <c r="C43" s="18">
        <f t="shared" si="3"/>
        <v>0</v>
      </c>
    </row>
    <row r="45" spans="1:4" x14ac:dyDescent="0.35">
      <c r="A45" s="28" t="s">
        <v>55</v>
      </c>
      <c r="B45" s="28"/>
      <c r="C45" s="28"/>
      <c r="D45" s="28"/>
    </row>
    <row r="46" spans="1:4" ht="37.25" customHeight="1" x14ac:dyDescent="0.35">
      <c r="A46" s="25" t="s">
        <v>56</v>
      </c>
      <c r="B46" s="25"/>
      <c r="C46" s="25"/>
      <c r="D46" s="25"/>
    </row>
    <row r="47" spans="1:4" ht="37.25" customHeight="1" x14ac:dyDescent="0.35">
      <c r="A47" s="25" t="s">
        <v>57</v>
      </c>
      <c r="B47" s="25"/>
      <c r="C47" s="25"/>
      <c r="D47" s="25"/>
    </row>
    <row r="48" spans="1:4" ht="25.4" customHeight="1" x14ac:dyDescent="0.35">
      <c r="A48" s="25" t="s">
        <v>58</v>
      </c>
      <c r="B48" s="25"/>
      <c r="C48" s="25"/>
      <c r="D48" s="25"/>
    </row>
    <row r="50" spans="1:4" x14ac:dyDescent="0.35">
      <c r="A50" s="28" t="s">
        <v>32</v>
      </c>
      <c r="B50" s="28"/>
      <c r="C50" s="28"/>
      <c r="D50" s="28"/>
    </row>
    <row r="51" spans="1:4" ht="37.25" customHeight="1" x14ac:dyDescent="0.35">
      <c r="A51" s="25" t="s">
        <v>59</v>
      </c>
      <c r="B51" s="25"/>
      <c r="C51" s="25"/>
      <c r="D51" s="25"/>
    </row>
    <row r="52" spans="1:4" ht="25.4" customHeight="1" x14ac:dyDescent="0.35">
      <c r="A52" s="25" t="s">
        <v>60</v>
      </c>
      <c r="B52" s="25"/>
      <c r="C52" s="25"/>
      <c r="D52" s="25"/>
    </row>
    <row r="53" spans="1:4" ht="37.25" customHeight="1" x14ac:dyDescent="0.35">
      <c r="A53" s="25" t="s">
        <v>61</v>
      </c>
      <c r="B53" s="25"/>
      <c r="C53" s="25"/>
      <c r="D53" s="25"/>
    </row>
    <row r="54" spans="1:4" ht="25.4" customHeight="1" x14ac:dyDescent="0.35">
      <c r="A54" s="25" t="s">
        <v>62</v>
      </c>
      <c r="B54" s="25"/>
      <c r="C54" s="25"/>
      <c r="D54" s="25"/>
    </row>
    <row r="55" spans="1:4" ht="37.25" customHeight="1" x14ac:dyDescent="0.35">
      <c r="A55" s="25" t="s">
        <v>63</v>
      </c>
      <c r="B55" s="25"/>
      <c r="C55" s="25"/>
      <c r="D55" s="25"/>
    </row>
    <row r="56" spans="1:4" ht="37.25" customHeight="1" x14ac:dyDescent="0.35">
      <c r="A56" s="25" t="s">
        <v>64</v>
      </c>
      <c r="B56" s="25"/>
      <c r="C56" s="25"/>
      <c r="D56" s="25"/>
    </row>
    <row r="57" spans="1:4" ht="25.4" customHeight="1" x14ac:dyDescent="0.35">
      <c r="A57" s="25" t="s">
        <v>65</v>
      </c>
      <c r="B57" s="25"/>
      <c r="C57" s="25"/>
      <c r="D57" s="25"/>
    </row>
  </sheetData>
  <mergeCells count="15">
    <mergeCell ref="A47:D47"/>
    <mergeCell ref="A1:D1"/>
    <mergeCell ref="A2:D2"/>
    <mergeCell ref="F4:G4"/>
    <mergeCell ref="A45:D45"/>
    <mergeCell ref="A46:D46"/>
    <mergeCell ref="A55:D55"/>
    <mergeCell ref="A56:D56"/>
    <mergeCell ref="A57:D57"/>
    <mergeCell ref="A48:D48"/>
    <mergeCell ref="A50:D50"/>
    <mergeCell ref="A51:D51"/>
    <mergeCell ref="A52:D52"/>
    <mergeCell ref="A53:D53"/>
    <mergeCell ref="A54:D54"/>
  </mergeCells>
  <conditionalFormatting sqref="D5:D22">
    <cfRule type="cellIs" dxfId="3" priority="1" operator="greaterThan">
      <formula>$G$11</formula>
    </cfRule>
    <cfRule type="cellIs" dxfId="2" priority="2" operator="lessThan">
      <formula>$G$12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12293-52E1-4F21-9E98-A5A2795998AB}">
  <dimension ref="A1:J37"/>
  <sheetViews>
    <sheetView tabSelected="1" zoomScale="85" zoomScaleNormal="85" workbookViewId="0">
      <pane ySplit="4" topLeftCell="A5" activePane="bottomLeft" state="frozen"/>
      <selection pane="bottomLeft" activeCell="F12" sqref="F12"/>
    </sheetView>
  </sheetViews>
  <sheetFormatPr baseColWidth="10" defaultColWidth="8.6328125" defaultRowHeight="14.5" x14ac:dyDescent="0.35"/>
  <cols>
    <col min="1" max="1" width="30" style="1" customWidth="1"/>
    <col min="2" max="2" width="14" style="1" customWidth="1"/>
    <col min="3" max="3" width="20.08984375" style="1" bestFit="1" customWidth="1"/>
    <col min="4" max="4" width="22" style="1" customWidth="1"/>
    <col min="5" max="6" width="14" style="1" customWidth="1"/>
    <col min="7" max="7" width="3" style="1" customWidth="1"/>
    <col min="8" max="8" width="22" style="1" customWidth="1"/>
    <col min="9" max="10" width="14" style="1" customWidth="1"/>
    <col min="11" max="16384" width="8.6328125" style="1"/>
  </cols>
  <sheetData>
    <row r="1" spans="1:10" ht="25.5" customHeight="1" x14ac:dyDescent="0.35">
      <c r="A1" s="26" t="s">
        <v>66</v>
      </c>
      <c r="B1" s="26"/>
      <c r="C1" s="26"/>
      <c r="D1" s="26"/>
      <c r="E1" s="26"/>
      <c r="F1" s="26"/>
      <c r="G1" s="26"/>
      <c r="H1" s="26"/>
      <c r="I1" s="26"/>
      <c r="J1" s="26"/>
    </row>
    <row r="2" spans="1:10" x14ac:dyDescent="0.35">
      <c r="A2" s="27" t="s">
        <v>67</v>
      </c>
      <c r="B2" s="27"/>
      <c r="C2" s="27"/>
      <c r="D2" s="27"/>
      <c r="E2" s="27"/>
      <c r="F2" s="27"/>
      <c r="G2" s="27"/>
      <c r="H2" s="27"/>
      <c r="I2" s="27"/>
      <c r="J2" s="27"/>
    </row>
    <row r="4" spans="1:10" x14ac:dyDescent="0.35">
      <c r="A4" s="28" t="s">
        <v>68</v>
      </c>
      <c r="B4" s="28"/>
      <c r="D4" s="28" t="s">
        <v>69</v>
      </c>
      <c r="E4" s="28"/>
      <c r="F4" s="28"/>
      <c r="H4" s="28" t="s">
        <v>70</v>
      </c>
      <c r="I4" s="28"/>
      <c r="J4" s="28"/>
    </row>
    <row r="5" spans="1:10" ht="15.5" x14ac:dyDescent="0.35">
      <c r="A5" s="6" t="s">
        <v>71</v>
      </c>
      <c r="B5" s="19">
        <v>-0.5</v>
      </c>
      <c r="D5" s="6" t="s">
        <v>31</v>
      </c>
      <c r="E5" s="16">
        <f>B9/B10</f>
        <v>7.7386070507308682E-2</v>
      </c>
      <c r="H5" s="6" t="s">
        <v>72</v>
      </c>
      <c r="I5" s="16">
        <f>B11</f>
        <v>0.15</v>
      </c>
    </row>
    <row r="6" spans="1:10" ht="15.5" x14ac:dyDescent="0.35">
      <c r="A6" s="6" t="s">
        <v>73</v>
      </c>
      <c r="B6" s="19">
        <v>0.5</v>
      </c>
      <c r="D6" s="6" t="s">
        <v>74</v>
      </c>
      <c r="E6" s="16">
        <f>(B6-B5)/(6*E5)</f>
        <v>2.1537037037037035</v>
      </c>
      <c r="H6" s="6" t="s">
        <v>75</v>
      </c>
      <c r="I6" s="16">
        <f>(B6-B5)/(6*B11)</f>
        <v>1.1111111111111112</v>
      </c>
    </row>
    <row r="7" spans="1:10" ht="15.5" x14ac:dyDescent="0.35">
      <c r="A7" s="6" t="s">
        <v>76</v>
      </c>
      <c r="B7" s="19">
        <v>0</v>
      </c>
      <c r="D7" s="6" t="s">
        <v>77</v>
      </c>
      <c r="E7" s="16">
        <f>(B6-B8)/(3*E5)</f>
        <v>2.0675555555555554</v>
      </c>
      <c r="H7" s="6" t="s">
        <v>78</v>
      </c>
      <c r="I7" s="16">
        <f>(B6-B8)/(3*B11)</f>
        <v>1.0666666666666667</v>
      </c>
    </row>
    <row r="8" spans="1:10" ht="15.5" x14ac:dyDescent="0.35">
      <c r="A8" s="6" t="s">
        <v>79</v>
      </c>
      <c r="B8" s="19">
        <v>0.02</v>
      </c>
      <c r="D8" s="6" t="s">
        <v>80</v>
      </c>
      <c r="E8" s="16">
        <f>(B8-B5)/(3*E5)</f>
        <v>2.239851851851852</v>
      </c>
      <c r="H8" s="6" t="s">
        <v>81</v>
      </c>
      <c r="I8" s="16">
        <f>(B8-B5)/(3*B11)</f>
        <v>1.1555555555555557</v>
      </c>
    </row>
    <row r="9" spans="1:10" ht="15.5" x14ac:dyDescent="0.35">
      <c r="A9" s="6" t="s">
        <v>82</v>
      </c>
      <c r="B9" s="19">
        <v>0.18</v>
      </c>
      <c r="D9" s="6" t="s">
        <v>83</v>
      </c>
      <c r="E9" s="16">
        <f>MIN(E7,E8)</f>
        <v>2.0675555555555554</v>
      </c>
      <c r="H9" s="6" t="s">
        <v>84</v>
      </c>
      <c r="I9" s="16">
        <f>MIN(I7,I8)</f>
        <v>1.0666666666666667</v>
      </c>
    </row>
    <row r="10" spans="1:10" x14ac:dyDescent="0.35">
      <c r="A10" s="6" t="s">
        <v>85</v>
      </c>
      <c r="B10" s="19">
        <v>2.3260000000000001</v>
      </c>
    </row>
    <row r="11" spans="1:10" x14ac:dyDescent="0.35">
      <c r="A11" s="6" t="s">
        <v>86</v>
      </c>
      <c r="B11" s="19">
        <v>0.15</v>
      </c>
    </row>
    <row r="12" spans="1:10" x14ac:dyDescent="0.35">
      <c r="A12" s="28" t="s">
        <v>87</v>
      </c>
      <c r="B12" s="28"/>
      <c r="C12" s="28"/>
      <c r="D12" s="28"/>
    </row>
    <row r="13" spans="1:10" x14ac:dyDescent="0.35">
      <c r="A13" s="2" t="s">
        <v>88</v>
      </c>
      <c r="B13" s="2" t="s">
        <v>89</v>
      </c>
      <c r="C13" s="2" t="s">
        <v>90</v>
      </c>
      <c r="D13" s="2" t="s">
        <v>91</v>
      </c>
    </row>
    <row r="14" spans="1:10" x14ac:dyDescent="0.35">
      <c r="A14" s="6" t="s">
        <v>92</v>
      </c>
      <c r="B14" s="13">
        <f>E6</f>
        <v>2.1537037037037035</v>
      </c>
      <c r="C14" s="13">
        <f>I6</f>
        <v>1.1111111111111112</v>
      </c>
      <c r="D14" s="13">
        <f>B14-C14</f>
        <v>1.0425925925925923</v>
      </c>
    </row>
    <row r="15" spans="1:10" x14ac:dyDescent="0.35">
      <c r="A15" s="20" t="s">
        <v>93</v>
      </c>
      <c r="B15" s="15">
        <f>E9</f>
        <v>2.0675555555555554</v>
      </c>
      <c r="C15" s="15">
        <f>I9</f>
        <v>1.0666666666666667</v>
      </c>
      <c r="D15" s="15">
        <f>B15-C15</f>
        <v>1.0008888888888887</v>
      </c>
    </row>
    <row r="17" spans="1:10" x14ac:dyDescent="0.35">
      <c r="A17" s="28" t="s">
        <v>32</v>
      </c>
      <c r="B17" s="28"/>
      <c r="C17" s="28"/>
      <c r="D17" s="28"/>
      <c r="E17" s="28"/>
      <c r="F17" s="28"/>
      <c r="G17" s="28"/>
      <c r="H17" s="28"/>
      <c r="I17" s="28"/>
      <c r="J17" s="28"/>
    </row>
    <row r="18" spans="1:10" ht="15" customHeight="1" x14ac:dyDescent="0.35">
      <c r="A18" s="25" t="s">
        <v>94</v>
      </c>
      <c r="B18" s="25"/>
      <c r="C18" s="25"/>
      <c r="D18" s="25"/>
      <c r="E18" s="25"/>
      <c r="F18" s="25"/>
      <c r="G18" s="25"/>
      <c r="H18" s="25"/>
      <c r="I18" s="25"/>
      <c r="J18" s="25"/>
    </row>
    <row r="19" spans="1:10" ht="15" customHeight="1" x14ac:dyDescent="0.35">
      <c r="A19" s="25" t="s">
        <v>95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15" customHeight="1" x14ac:dyDescent="0.35">
      <c r="A20" s="25" t="s">
        <v>96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ht="15" customHeight="1" x14ac:dyDescent="0.35">
      <c r="A21" s="25" t="s">
        <v>97</v>
      </c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15" customHeight="1" x14ac:dyDescent="0.35">
      <c r="A22" s="25" t="s">
        <v>98</v>
      </c>
      <c r="B22" s="25"/>
      <c r="C22" s="25"/>
      <c r="D22" s="25"/>
      <c r="E22" s="25"/>
      <c r="F22" s="25"/>
      <c r="G22" s="25"/>
      <c r="H22" s="25"/>
      <c r="I22" s="25"/>
      <c r="J22" s="25"/>
    </row>
    <row r="23" spans="1:10" ht="15" customHeight="1" x14ac:dyDescent="0.35">
      <c r="A23" s="25" t="s">
        <v>99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15" customHeight="1" x14ac:dyDescent="0.35">
      <c r="A24" s="25" t="s">
        <v>100</v>
      </c>
      <c r="B24" s="25"/>
      <c r="C24" s="25"/>
      <c r="D24" s="25"/>
      <c r="E24" s="25"/>
      <c r="F24" s="25"/>
      <c r="G24" s="25"/>
      <c r="H24" s="25"/>
      <c r="I24" s="25"/>
      <c r="J24" s="25"/>
    </row>
    <row r="25" spans="1:10" ht="15" customHeight="1" x14ac:dyDescent="0.35">
      <c r="A25" s="25" t="s">
        <v>101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15" customHeight="1" x14ac:dyDescent="0.35">
      <c r="A26" s="25" t="s">
        <v>102</v>
      </c>
      <c r="B26" s="25"/>
      <c r="C26" s="25"/>
      <c r="D26" s="25"/>
      <c r="E26" s="25"/>
      <c r="F26" s="25"/>
      <c r="G26" s="25"/>
      <c r="H26" s="25"/>
      <c r="I26" s="25"/>
      <c r="J26" s="25"/>
    </row>
    <row r="27" spans="1:10" ht="15" customHeight="1" x14ac:dyDescent="0.35">
      <c r="A27" s="25" t="s">
        <v>103</v>
      </c>
      <c r="B27" s="25"/>
      <c r="C27" s="25"/>
      <c r="D27" s="25"/>
      <c r="E27" s="25"/>
      <c r="F27" s="25"/>
      <c r="G27" s="25"/>
      <c r="H27" s="25"/>
      <c r="I27" s="25"/>
      <c r="J27" s="25"/>
    </row>
    <row r="28" spans="1:10" ht="15" customHeight="1" x14ac:dyDescent="0.35">
      <c r="A28" s="25" t="s">
        <v>104</v>
      </c>
      <c r="B28" s="25"/>
      <c r="C28" s="25"/>
      <c r="D28" s="25"/>
      <c r="E28" s="25"/>
      <c r="F28" s="25"/>
      <c r="G28" s="25"/>
      <c r="H28" s="25"/>
      <c r="I28" s="25"/>
      <c r="J28" s="25"/>
    </row>
    <row r="29" spans="1:10" ht="15" customHeight="1" x14ac:dyDescent="0.35">
      <c r="A29" s="25" t="s">
        <v>105</v>
      </c>
      <c r="B29" s="25"/>
      <c r="C29" s="25"/>
      <c r="D29" s="25"/>
      <c r="E29" s="25"/>
      <c r="F29" s="25"/>
      <c r="G29" s="25"/>
      <c r="H29" s="25"/>
      <c r="I29" s="25"/>
      <c r="J29" s="25"/>
    </row>
    <row r="30" spans="1:10" ht="15" customHeight="1" x14ac:dyDescent="0.35">
      <c r="A30" s="25" t="s">
        <v>106</v>
      </c>
      <c r="B30" s="25"/>
      <c r="C30" s="25"/>
      <c r="D30" s="25"/>
      <c r="E30" s="25"/>
      <c r="F30" s="25"/>
      <c r="G30" s="25"/>
      <c r="H30" s="25"/>
      <c r="I30" s="25"/>
      <c r="J30" s="25"/>
    </row>
    <row r="31" spans="1:10" ht="15" customHeight="1" x14ac:dyDescent="0.35">
      <c r="A31" s="25" t="s">
        <v>107</v>
      </c>
      <c r="B31" s="25"/>
      <c r="C31" s="25"/>
      <c r="D31" s="25"/>
      <c r="E31" s="25"/>
      <c r="F31" s="25"/>
      <c r="G31" s="25"/>
      <c r="H31" s="25"/>
      <c r="I31" s="25"/>
      <c r="J31" s="25"/>
    </row>
    <row r="32" spans="1:10" ht="15" customHeight="1" x14ac:dyDescent="0.35">
      <c r="A32" s="25" t="s">
        <v>108</v>
      </c>
      <c r="B32" s="25"/>
      <c r="C32" s="25"/>
      <c r="D32" s="25"/>
      <c r="E32" s="25"/>
      <c r="F32" s="25"/>
      <c r="G32" s="25"/>
      <c r="H32" s="25"/>
      <c r="I32" s="25"/>
      <c r="J32" s="25"/>
    </row>
    <row r="33" spans="1:10" ht="15" customHeight="1" x14ac:dyDescent="0.35">
      <c r="A33" s="25" t="s">
        <v>109</v>
      </c>
      <c r="B33" s="25"/>
      <c r="C33" s="25"/>
      <c r="D33" s="25"/>
      <c r="E33" s="25"/>
      <c r="F33" s="25"/>
      <c r="G33" s="25"/>
      <c r="H33" s="25"/>
      <c r="I33" s="25"/>
      <c r="J33" s="25"/>
    </row>
    <row r="35" spans="1:10" x14ac:dyDescent="0.35">
      <c r="A35" s="2" t="s">
        <v>88</v>
      </c>
      <c r="B35" s="2" t="s">
        <v>110</v>
      </c>
      <c r="C35" s="2" t="s">
        <v>111</v>
      </c>
    </row>
    <row r="36" spans="1:10" x14ac:dyDescent="0.35">
      <c r="A36" s="3" t="s">
        <v>112</v>
      </c>
      <c r="B36" s="13">
        <f>E6</f>
        <v>2.1537037037037035</v>
      </c>
      <c r="C36" s="13">
        <f>I6</f>
        <v>1.1111111111111112</v>
      </c>
    </row>
    <row r="37" spans="1:10" x14ac:dyDescent="0.35">
      <c r="A37" s="3" t="s">
        <v>113</v>
      </c>
      <c r="B37" s="13">
        <f>E9</f>
        <v>2.0675555555555554</v>
      </c>
      <c r="C37" s="13">
        <f>I9</f>
        <v>1.0666666666666667</v>
      </c>
    </row>
  </sheetData>
  <mergeCells count="23">
    <mergeCell ref="A12:D12"/>
    <mergeCell ref="A1:J1"/>
    <mergeCell ref="A2:J2"/>
    <mergeCell ref="A4:B4"/>
    <mergeCell ref="D4:F4"/>
    <mergeCell ref="H4:J4"/>
    <mergeCell ref="A28:J28"/>
    <mergeCell ref="A17:J17"/>
    <mergeCell ref="A18:J18"/>
    <mergeCell ref="A19:J19"/>
    <mergeCell ref="A20:J20"/>
    <mergeCell ref="A21:J21"/>
    <mergeCell ref="A22:J22"/>
    <mergeCell ref="A23:J23"/>
    <mergeCell ref="A24:J24"/>
    <mergeCell ref="A25:J25"/>
    <mergeCell ref="A26:J26"/>
    <mergeCell ref="A27:J27"/>
    <mergeCell ref="A29:J29"/>
    <mergeCell ref="A30:J30"/>
    <mergeCell ref="A31:J31"/>
    <mergeCell ref="A32:J32"/>
    <mergeCell ref="A33:J3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6ECC-2987-48FC-9CE6-63BFC2B970AB}">
  <dimension ref="A1:G53"/>
  <sheetViews>
    <sheetView zoomScale="70" zoomScaleNormal="70" workbookViewId="0">
      <pane ySplit="4" topLeftCell="A5" activePane="bottomLeft" state="frozen"/>
      <selection pane="bottomLeft" activeCell="H11" sqref="H11"/>
    </sheetView>
  </sheetViews>
  <sheetFormatPr baseColWidth="10" defaultColWidth="8.6328125" defaultRowHeight="14.5" x14ac:dyDescent="0.35"/>
  <cols>
    <col min="1" max="1" width="9" style="1" customWidth="1"/>
    <col min="2" max="2" width="22" style="1" customWidth="1"/>
    <col min="3" max="3" width="20.1796875" style="1" bestFit="1" customWidth="1"/>
    <col min="4" max="4" width="24" style="1" customWidth="1"/>
    <col min="5" max="5" width="14" style="1" customWidth="1"/>
    <col min="6" max="6" width="3" style="1" customWidth="1"/>
    <col min="7" max="7" width="30" style="1" customWidth="1"/>
    <col min="8" max="16384" width="8.6328125" style="1"/>
  </cols>
  <sheetData>
    <row r="1" spans="1:7" ht="25.5" customHeight="1" x14ac:dyDescent="0.35">
      <c r="A1" s="26" t="s">
        <v>114</v>
      </c>
      <c r="B1" s="26"/>
      <c r="C1" s="26"/>
      <c r="D1" s="26"/>
      <c r="E1" s="26"/>
      <c r="F1" s="26"/>
      <c r="G1" s="26"/>
    </row>
    <row r="2" spans="1:7" x14ac:dyDescent="0.35">
      <c r="A2" s="27" t="s">
        <v>115</v>
      </c>
      <c r="B2" s="27"/>
      <c r="C2" s="27"/>
      <c r="D2" s="27"/>
      <c r="E2" s="27"/>
      <c r="F2" s="27"/>
      <c r="G2" s="27"/>
    </row>
    <row r="4" spans="1:7" x14ac:dyDescent="0.35">
      <c r="A4" s="2" t="s">
        <v>116</v>
      </c>
      <c r="B4" s="2" t="s">
        <v>117</v>
      </c>
      <c r="C4" s="2" t="s">
        <v>118</v>
      </c>
      <c r="E4" s="28" t="s">
        <v>119</v>
      </c>
      <c r="F4" s="28"/>
    </row>
    <row r="5" spans="1:7" ht="15.5" x14ac:dyDescent="0.35">
      <c r="A5" s="3">
        <v>1</v>
      </c>
      <c r="B5" s="4">
        <v>40</v>
      </c>
      <c r="C5" s="4">
        <v>3</v>
      </c>
      <c r="D5" s="6" t="s">
        <v>120</v>
      </c>
      <c r="E5" s="14">
        <f>SUM(C5:C14)</f>
        <v>41</v>
      </c>
    </row>
    <row r="6" spans="1:7" ht="15.5" x14ac:dyDescent="0.35">
      <c r="A6" s="8">
        <v>2</v>
      </c>
      <c r="B6" s="9">
        <v>40</v>
      </c>
      <c r="C6" s="9">
        <v>5</v>
      </c>
      <c r="D6" s="6" t="s">
        <v>121</v>
      </c>
      <c r="E6" s="14">
        <f>SUM(B5:B14)</f>
        <v>400</v>
      </c>
    </row>
    <row r="7" spans="1:7" ht="15.5" x14ac:dyDescent="0.35">
      <c r="A7" s="3">
        <v>3</v>
      </c>
      <c r="B7" s="4">
        <v>40</v>
      </c>
      <c r="C7" s="4">
        <v>2</v>
      </c>
      <c r="D7" s="6" t="s">
        <v>122</v>
      </c>
      <c r="E7" s="14">
        <f>COUNT(A5:A14)</f>
        <v>10</v>
      </c>
    </row>
    <row r="8" spans="1:7" ht="15.5" x14ac:dyDescent="0.35">
      <c r="A8" s="8">
        <v>4</v>
      </c>
      <c r="B8" s="9">
        <v>40</v>
      </c>
      <c r="C8" s="9">
        <v>6</v>
      </c>
      <c r="D8" s="6" t="s">
        <v>123</v>
      </c>
      <c r="E8" s="16">
        <f>E5/E6</f>
        <v>0.10249999999999999</v>
      </c>
    </row>
    <row r="9" spans="1:7" ht="15.5" x14ac:dyDescent="0.35">
      <c r="A9" s="3">
        <v>5</v>
      </c>
      <c r="B9" s="4">
        <v>40</v>
      </c>
      <c r="C9" s="4">
        <v>4</v>
      </c>
      <c r="D9" s="6" t="s">
        <v>124</v>
      </c>
      <c r="E9" s="16">
        <f>E6/E7*E8</f>
        <v>4.0999999999999996</v>
      </c>
    </row>
    <row r="10" spans="1:7" ht="15.5" x14ac:dyDescent="0.35">
      <c r="A10" s="8">
        <v>6</v>
      </c>
      <c r="B10" s="9">
        <v>40</v>
      </c>
      <c r="C10" s="9">
        <v>3</v>
      </c>
      <c r="D10" s="6" t="s">
        <v>125</v>
      </c>
      <c r="E10" s="16">
        <f>SQRT(E9*(1-E8))</f>
        <v>1.9182674474639869</v>
      </c>
    </row>
    <row r="11" spans="1:7" ht="15.5" x14ac:dyDescent="0.35">
      <c r="A11" s="3">
        <v>7</v>
      </c>
      <c r="B11" s="4">
        <v>40</v>
      </c>
      <c r="C11" s="4">
        <v>7</v>
      </c>
      <c r="D11" s="6" t="s">
        <v>126</v>
      </c>
      <c r="E11" s="16">
        <f>E9+3*E10</f>
        <v>9.8548023423919595</v>
      </c>
    </row>
    <row r="12" spans="1:7" ht="15.5" x14ac:dyDescent="0.35">
      <c r="A12" s="8">
        <v>8</v>
      </c>
      <c r="B12" s="9">
        <v>40</v>
      </c>
      <c r="C12" s="9">
        <v>2</v>
      </c>
      <c r="D12" s="6" t="s">
        <v>127</v>
      </c>
      <c r="E12" s="16">
        <f>MAX(0,E9-3*E10)</f>
        <v>0</v>
      </c>
    </row>
    <row r="13" spans="1:7" x14ac:dyDescent="0.35">
      <c r="A13" s="3">
        <v>9</v>
      </c>
      <c r="B13" s="4">
        <v>40</v>
      </c>
      <c r="C13" s="4">
        <v>5</v>
      </c>
    </row>
    <row r="14" spans="1:7" x14ac:dyDescent="0.35">
      <c r="A14" s="8">
        <v>10</v>
      </c>
      <c r="B14" s="9">
        <v>40</v>
      </c>
      <c r="C14" s="9">
        <v>4</v>
      </c>
    </row>
    <row r="17" spans="1:7" x14ac:dyDescent="0.35">
      <c r="A17" s="28" t="s">
        <v>128</v>
      </c>
      <c r="B17" s="28"/>
      <c r="C17" s="28"/>
      <c r="D17" s="28"/>
      <c r="E17" s="28"/>
      <c r="F17" s="28"/>
      <c r="G17" s="28"/>
    </row>
    <row r="18" spans="1:7" ht="15" customHeight="1" x14ac:dyDescent="0.35">
      <c r="A18" s="25" t="s">
        <v>129</v>
      </c>
      <c r="B18" s="25"/>
      <c r="C18" s="25"/>
      <c r="D18" s="25"/>
      <c r="E18" s="25"/>
      <c r="F18" s="25"/>
      <c r="G18" s="25"/>
    </row>
    <row r="19" spans="1:7" ht="15" customHeight="1" x14ac:dyDescent="0.35">
      <c r="A19" s="25" t="s">
        <v>130</v>
      </c>
      <c r="B19" s="25"/>
      <c r="C19" s="25"/>
      <c r="D19" s="25"/>
      <c r="E19" s="25"/>
      <c r="F19" s="25"/>
      <c r="G19" s="25"/>
    </row>
    <row r="20" spans="1:7" ht="15" customHeight="1" x14ac:dyDescent="0.35">
      <c r="A20" s="25" t="s">
        <v>131</v>
      </c>
      <c r="B20" s="25"/>
      <c r="C20" s="25"/>
      <c r="D20" s="25"/>
      <c r="E20" s="25"/>
      <c r="F20" s="25"/>
      <c r="G20" s="25"/>
    </row>
    <row r="21" spans="1:7" ht="15" customHeight="1" x14ac:dyDescent="0.35">
      <c r="A21" s="25" t="s">
        <v>132</v>
      </c>
      <c r="B21" s="25"/>
      <c r="C21" s="25"/>
      <c r="D21" s="25"/>
      <c r="E21" s="25"/>
      <c r="F21" s="25"/>
      <c r="G21" s="25"/>
    </row>
    <row r="22" spans="1:7" ht="15" customHeight="1" x14ac:dyDescent="0.35">
      <c r="A22" s="25" t="s">
        <v>133</v>
      </c>
      <c r="B22" s="25"/>
      <c r="C22" s="25"/>
      <c r="D22" s="25"/>
      <c r="E22" s="25"/>
      <c r="F22" s="25"/>
      <c r="G22" s="25"/>
    </row>
    <row r="23" spans="1:7" ht="15" customHeight="1" x14ac:dyDescent="0.35">
      <c r="A23" s="25" t="s">
        <v>134</v>
      </c>
      <c r="B23" s="25"/>
      <c r="C23" s="25"/>
      <c r="D23" s="25"/>
      <c r="E23" s="25"/>
      <c r="F23" s="25"/>
      <c r="G23" s="25"/>
    </row>
    <row r="24" spans="1:7" ht="15" customHeight="1" x14ac:dyDescent="0.35">
      <c r="A24" s="25" t="s">
        <v>135</v>
      </c>
      <c r="B24" s="25"/>
      <c r="C24" s="25"/>
      <c r="D24" s="25"/>
      <c r="E24" s="25"/>
      <c r="F24" s="25"/>
      <c r="G24" s="25"/>
    </row>
    <row r="26" spans="1:7" x14ac:dyDescent="0.35">
      <c r="A26" s="28" t="s">
        <v>136</v>
      </c>
      <c r="B26" s="28"/>
      <c r="C26" s="28"/>
      <c r="D26" s="28"/>
      <c r="E26" s="28"/>
      <c r="F26" s="28"/>
      <c r="G26" s="28"/>
    </row>
    <row r="27" spans="1:7" ht="15" customHeight="1" x14ac:dyDescent="0.35">
      <c r="A27" s="25" t="s">
        <v>137</v>
      </c>
      <c r="B27" s="25"/>
      <c r="C27" s="25"/>
      <c r="D27" s="25"/>
      <c r="E27" s="25"/>
      <c r="F27" s="25"/>
      <c r="G27" s="25"/>
    </row>
    <row r="28" spans="1:7" ht="15" customHeight="1" x14ac:dyDescent="0.35">
      <c r="A28" s="25" t="s">
        <v>138</v>
      </c>
      <c r="B28" s="25"/>
      <c r="C28" s="25"/>
      <c r="D28" s="25"/>
      <c r="E28" s="25"/>
      <c r="F28" s="25"/>
      <c r="G28" s="25"/>
    </row>
    <row r="29" spans="1:7" ht="15" customHeight="1" x14ac:dyDescent="0.35">
      <c r="A29" s="25" t="s">
        <v>139</v>
      </c>
      <c r="B29" s="25"/>
      <c r="C29" s="25"/>
      <c r="D29" s="25"/>
      <c r="E29" s="25"/>
      <c r="F29" s="25"/>
      <c r="G29" s="25"/>
    </row>
    <row r="30" spans="1:7" x14ac:dyDescent="0.35">
      <c r="A30" s="25"/>
      <c r="B30" s="25"/>
      <c r="C30" s="25"/>
      <c r="D30" s="25"/>
      <c r="E30" s="25"/>
      <c r="F30" s="25"/>
      <c r="G30" s="25"/>
    </row>
    <row r="31" spans="1:7" ht="15" customHeight="1" x14ac:dyDescent="0.35">
      <c r="A31" s="25" t="s">
        <v>140</v>
      </c>
      <c r="B31" s="25"/>
      <c r="C31" s="25"/>
      <c r="D31" s="25"/>
      <c r="E31" s="25"/>
      <c r="F31" s="25"/>
      <c r="G31" s="25"/>
    </row>
    <row r="32" spans="1:7" ht="15" customHeight="1" x14ac:dyDescent="0.35">
      <c r="A32" s="29" t="s">
        <v>141</v>
      </c>
      <c r="B32" s="29"/>
      <c r="C32" s="29"/>
      <c r="D32" s="29"/>
      <c r="E32" s="29"/>
      <c r="F32" s="29"/>
      <c r="G32" s="29"/>
    </row>
    <row r="33" spans="1:7" ht="15" customHeight="1" x14ac:dyDescent="0.35">
      <c r="A33" s="29" t="s">
        <v>142</v>
      </c>
      <c r="B33" s="29"/>
      <c r="C33" s="29"/>
      <c r="D33" s="29"/>
      <c r="E33" s="29"/>
      <c r="F33" s="29"/>
      <c r="G33" s="29"/>
    </row>
    <row r="34" spans="1:7" ht="15" customHeight="1" x14ac:dyDescent="0.35">
      <c r="A34" s="29" t="s">
        <v>143</v>
      </c>
      <c r="B34" s="29"/>
      <c r="C34" s="29"/>
      <c r="D34" s="29"/>
      <c r="E34" s="29"/>
      <c r="F34" s="29"/>
      <c r="G34" s="29"/>
    </row>
    <row r="35" spans="1:7" ht="15" customHeight="1" x14ac:dyDescent="0.35">
      <c r="A35" s="29" t="s">
        <v>144</v>
      </c>
      <c r="B35" s="29"/>
      <c r="C35" s="29"/>
      <c r="D35" s="29"/>
      <c r="E35" s="29"/>
      <c r="F35" s="29"/>
      <c r="G35" s="29"/>
    </row>
    <row r="37" spans="1:7" x14ac:dyDescent="0.35">
      <c r="A37" s="28" t="s">
        <v>145</v>
      </c>
      <c r="B37" s="28"/>
      <c r="C37" s="28"/>
      <c r="D37" s="28"/>
      <c r="E37" s="28"/>
      <c r="F37" s="28"/>
      <c r="G37" s="28"/>
    </row>
    <row r="38" spans="1:7" ht="15" customHeight="1" x14ac:dyDescent="0.35">
      <c r="A38" s="25" t="s">
        <v>146</v>
      </c>
      <c r="B38" s="25"/>
      <c r="C38" s="25"/>
      <c r="D38" s="25"/>
      <c r="E38" s="25"/>
      <c r="F38" s="25"/>
      <c r="G38" s="25"/>
    </row>
    <row r="39" spans="1:7" ht="15" customHeight="1" x14ac:dyDescent="0.35">
      <c r="A39" s="25" t="s">
        <v>147</v>
      </c>
      <c r="B39" s="25"/>
      <c r="C39" s="25"/>
      <c r="D39" s="25"/>
      <c r="E39" s="25"/>
      <c r="F39" s="25"/>
      <c r="G39" s="25"/>
    </row>
    <row r="40" spans="1:7" ht="15" customHeight="1" x14ac:dyDescent="0.35">
      <c r="A40" s="25" t="s">
        <v>148</v>
      </c>
      <c r="B40" s="25"/>
      <c r="C40" s="25"/>
      <c r="D40" s="25"/>
      <c r="E40" s="25"/>
      <c r="F40" s="25"/>
      <c r="G40" s="25"/>
    </row>
    <row r="43" spans="1:7" x14ac:dyDescent="0.35">
      <c r="A43" s="2" t="s">
        <v>149</v>
      </c>
      <c r="B43" s="2" t="s">
        <v>150</v>
      </c>
      <c r="C43" s="2" t="s">
        <v>151</v>
      </c>
    </row>
    <row r="44" spans="1:7" x14ac:dyDescent="0.35">
      <c r="A44" s="18">
        <f t="shared" ref="A44:A53" si="0">$E$9</f>
        <v>4.0999999999999996</v>
      </c>
      <c r="B44" s="18">
        <f t="shared" ref="B44:B53" si="1">$E$11</f>
        <v>9.8548023423919595</v>
      </c>
      <c r="C44" s="18">
        <f t="shared" ref="C44:C53" si="2">$E$12</f>
        <v>0</v>
      </c>
    </row>
    <row r="45" spans="1:7" x14ac:dyDescent="0.35">
      <c r="A45" s="18">
        <f t="shared" si="0"/>
        <v>4.0999999999999996</v>
      </c>
      <c r="B45" s="18">
        <f t="shared" si="1"/>
        <v>9.8548023423919595</v>
      </c>
      <c r="C45" s="18">
        <f t="shared" si="2"/>
        <v>0</v>
      </c>
    </row>
    <row r="46" spans="1:7" x14ac:dyDescent="0.35">
      <c r="A46" s="18">
        <f t="shared" si="0"/>
        <v>4.0999999999999996</v>
      </c>
      <c r="B46" s="18">
        <f t="shared" si="1"/>
        <v>9.8548023423919595</v>
      </c>
      <c r="C46" s="18">
        <f t="shared" si="2"/>
        <v>0</v>
      </c>
    </row>
    <row r="47" spans="1:7" x14ac:dyDescent="0.35">
      <c r="A47" s="18">
        <f t="shared" si="0"/>
        <v>4.0999999999999996</v>
      </c>
      <c r="B47" s="18">
        <f t="shared" si="1"/>
        <v>9.8548023423919595</v>
      </c>
      <c r="C47" s="18">
        <f t="shared" si="2"/>
        <v>0</v>
      </c>
    </row>
    <row r="48" spans="1:7" x14ac:dyDescent="0.35">
      <c r="A48" s="18">
        <f t="shared" si="0"/>
        <v>4.0999999999999996</v>
      </c>
      <c r="B48" s="18">
        <f t="shared" si="1"/>
        <v>9.8548023423919595</v>
      </c>
      <c r="C48" s="18">
        <f t="shared" si="2"/>
        <v>0</v>
      </c>
    </row>
    <row r="49" spans="1:3" x14ac:dyDescent="0.35">
      <c r="A49" s="18">
        <f t="shared" si="0"/>
        <v>4.0999999999999996</v>
      </c>
      <c r="B49" s="18">
        <f t="shared" si="1"/>
        <v>9.8548023423919595</v>
      </c>
      <c r="C49" s="18">
        <f t="shared" si="2"/>
        <v>0</v>
      </c>
    </row>
    <row r="50" spans="1:3" x14ac:dyDescent="0.35">
      <c r="A50" s="18">
        <f t="shared" si="0"/>
        <v>4.0999999999999996</v>
      </c>
      <c r="B50" s="18">
        <f t="shared" si="1"/>
        <v>9.8548023423919595</v>
      </c>
      <c r="C50" s="18">
        <f t="shared" si="2"/>
        <v>0</v>
      </c>
    </row>
    <row r="51" spans="1:3" x14ac:dyDescent="0.35">
      <c r="A51" s="18">
        <f t="shared" si="0"/>
        <v>4.0999999999999996</v>
      </c>
      <c r="B51" s="18">
        <f t="shared" si="1"/>
        <v>9.8548023423919595</v>
      </c>
      <c r="C51" s="18">
        <f t="shared" si="2"/>
        <v>0</v>
      </c>
    </row>
    <row r="52" spans="1:3" x14ac:dyDescent="0.35">
      <c r="A52" s="18">
        <f t="shared" si="0"/>
        <v>4.0999999999999996</v>
      </c>
      <c r="B52" s="18">
        <f t="shared" si="1"/>
        <v>9.8548023423919595</v>
      </c>
      <c r="C52" s="18">
        <f t="shared" si="2"/>
        <v>0</v>
      </c>
    </row>
    <row r="53" spans="1:3" x14ac:dyDescent="0.35">
      <c r="A53" s="18">
        <f t="shared" si="0"/>
        <v>4.0999999999999996</v>
      </c>
      <c r="B53" s="18">
        <f t="shared" si="1"/>
        <v>9.8548023423919595</v>
      </c>
      <c r="C53" s="18">
        <f t="shared" si="2"/>
        <v>0</v>
      </c>
    </row>
  </sheetData>
  <mergeCells count="25">
    <mergeCell ref="A19:G19"/>
    <mergeCell ref="A1:G1"/>
    <mergeCell ref="A2:G2"/>
    <mergeCell ref="E4:F4"/>
    <mergeCell ref="A17:G17"/>
    <mergeCell ref="A18:G18"/>
    <mergeCell ref="A32:G32"/>
    <mergeCell ref="A20:G20"/>
    <mergeCell ref="A21:G21"/>
    <mergeCell ref="A22:G22"/>
    <mergeCell ref="A23:G23"/>
    <mergeCell ref="A24:G24"/>
    <mergeCell ref="A26:G26"/>
    <mergeCell ref="A27:G27"/>
    <mergeCell ref="A28:G28"/>
    <mergeCell ref="A29:G29"/>
    <mergeCell ref="A30:G30"/>
    <mergeCell ref="A31:G31"/>
    <mergeCell ref="A40:G40"/>
    <mergeCell ref="A33:G33"/>
    <mergeCell ref="A34:G34"/>
    <mergeCell ref="A35:G35"/>
    <mergeCell ref="A37:G37"/>
    <mergeCell ref="A38:G38"/>
    <mergeCell ref="A39:G39"/>
  </mergeCells>
  <conditionalFormatting sqref="C5:C14">
    <cfRule type="cellIs" dxfId="1" priority="1" operator="greaterThan">
      <formula>$E$11</formula>
    </cfRule>
    <cfRule type="cellIs" dxfId="0" priority="2" operator="lessThan">
      <formula>$E$12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C78F88-FC5F-4C9E-88FB-6A6BB2799ACC}">
  <dimension ref="A1:C101"/>
  <sheetViews>
    <sheetView workbookViewId="0">
      <selection activeCell="H13" sqref="H13"/>
    </sheetView>
  </sheetViews>
  <sheetFormatPr baseColWidth="10" defaultRowHeight="14.5" x14ac:dyDescent="0.35"/>
  <sheetData>
    <row r="1" spans="1:3" ht="18" thickBot="1" x14ac:dyDescent="0.4">
      <c r="A1" s="21" t="s">
        <v>152</v>
      </c>
      <c r="B1" s="21" t="s">
        <v>153</v>
      </c>
    </row>
    <row r="2" spans="1:3" ht="35.5" thickBot="1" x14ac:dyDescent="0.4">
      <c r="A2" s="21">
        <v>1</v>
      </c>
      <c r="B2" s="22" t="s">
        <v>3</v>
      </c>
      <c r="C2" s="22" t="s">
        <v>154</v>
      </c>
    </row>
    <row r="3" spans="1:3" ht="18" thickBot="1" x14ac:dyDescent="0.4">
      <c r="A3" s="21">
        <v>2</v>
      </c>
      <c r="B3" s="23">
        <v>1</v>
      </c>
      <c r="C3" s="23">
        <v>-0.29499999999999998</v>
      </c>
    </row>
    <row r="4" spans="1:3" ht="18" thickBot="1" x14ac:dyDescent="0.4">
      <c r="A4" s="21">
        <v>3</v>
      </c>
      <c r="B4" s="23">
        <v>1</v>
      </c>
      <c r="C4" s="24">
        <v>-0.25</v>
      </c>
    </row>
    <row r="5" spans="1:3" ht="18" thickBot="1" x14ac:dyDescent="0.4">
      <c r="A5" s="21">
        <v>4</v>
      </c>
      <c r="B5" s="23">
        <v>1</v>
      </c>
      <c r="C5" s="23">
        <v>-0.20499999999999999</v>
      </c>
    </row>
    <row r="6" spans="1:3" ht="18" thickBot="1" x14ac:dyDescent="0.4">
      <c r="A6" s="21">
        <v>5</v>
      </c>
      <c r="B6" s="23">
        <v>1</v>
      </c>
      <c r="C6" s="23">
        <v>-0.16</v>
      </c>
    </row>
    <row r="7" spans="1:3" ht="18" thickBot="1" x14ac:dyDescent="0.4">
      <c r="A7" s="21">
        <v>6</v>
      </c>
      <c r="B7" s="23">
        <v>1</v>
      </c>
      <c r="C7" s="23">
        <v>-0.115</v>
      </c>
    </row>
    <row r="8" spans="1:3" ht="18" thickBot="1" x14ac:dyDescent="0.4">
      <c r="A8" s="21">
        <v>7</v>
      </c>
      <c r="B8" s="23">
        <v>2</v>
      </c>
      <c r="C8" s="23">
        <v>-0.2762</v>
      </c>
    </row>
    <row r="9" spans="1:3" ht="18" thickBot="1" x14ac:dyDescent="0.4">
      <c r="A9" s="21">
        <v>8</v>
      </c>
      <c r="B9" s="23">
        <v>2</v>
      </c>
      <c r="C9" s="23">
        <v>-0.23130000000000001</v>
      </c>
    </row>
    <row r="10" spans="1:3" ht="18" thickBot="1" x14ac:dyDescent="0.4">
      <c r="A10" s="21">
        <v>9</v>
      </c>
      <c r="B10" s="23">
        <v>2</v>
      </c>
      <c r="C10" s="23">
        <v>-0.18629999999999999</v>
      </c>
    </row>
    <row r="11" spans="1:3" ht="18" thickBot="1" x14ac:dyDescent="0.4">
      <c r="A11" s="21">
        <v>10</v>
      </c>
      <c r="B11" s="23">
        <v>2</v>
      </c>
      <c r="C11" s="23">
        <v>-0.14130000000000001</v>
      </c>
    </row>
    <row r="12" spans="1:3" ht="18" thickBot="1" x14ac:dyDescent="0.4">
      <c r="A12" s="21">
        <v>11</v>
      </c>
      <c r="B12" s="23">
        <v>2</v>
      </c>
      <c r="C12" s="23">
        <v>-9.6299999999999997E-2</v>
      </c>
    </row>
    <row r="13" spans="1:3" ht="18" thickBot="1" x14ac:dyDescent="0.4">
      <c r="A13" s="21">
        <v>12</v>
      </c>
      <c r="B13" s="23">
        <v>3</v>
      </c>
      <c r="C13" s="23">
        <v>-0.25750000000000001</v>
      </c>
    </row>
    <row r="14" spans="1:3" ht="18" thickBot="1" x14ac:dyDescent="0.4">
      <c r="A14" s="21">
        <v>13</v>
      </c>
      <c r="B14" s="23">
        <v>3</v>
      </c>
      <c r="C14" s="23">
        <v>-0.21249999999999999</v>
      </c>
    </row>
    <row r="15" spans="1:3" ht="18" thickBot="1" x14ac:dyDescent="0.4">
      <c r="A15" s="21">
        <v>14</v>
      </c>
      <c r="B15" s="23">
        <v>3</v>
      </c>
      <c r="C15" s="23">
        <v>-0.16750000000000001</v>
      </c>
    </row>
    <row r="16" spans="1:3" ht="18" thickBot="1" x14ac:dyDescent="0.4">
      <c r="A16" s="21">
        <v>15</v>
      </c>
      <c r="B16" s="23">
        <v>3</v>
      </c>
      <c r="C16" s="23">
        <v>-0.1225</v>
      </c>
    </row>
    <row r="17" spans="1:3" ht="18" thickBot="1" x14ac:dyDescent="0.4">
      <c r="A17" s="21">
        <v>16</v>
      </c>
      <c r="B17" s="23">
        <v>3</v>
      </c>
      <c r="C17" s="23">
        <v>-7.7499999999999999E-2</v>
      </c>
    </row>
    <row r="18" spans="1:3" ht="18" thickBot="1" x14ac:dyDescent="0.4">
      <c r="A18" s="21">
        <v>17</v>
      </c>
      <c r="B18" s="23">
        <v>4</v>
      </c>
      <c r="C18" s="23">
        <v>-0.23880000000000001</v>
      </c>
    </row>
    <row r="19" spans="1:3" ht="18" thickBot="1" x14ac:dyDescent="0.4">
      <c r="A19" s="21">
        <v>18</v>
      </c>
      <c r="B19" s="23">
        <v>4</v>
      </c>
      <c r="C19" s="23">
        <v>-0.1938</v>
      </c>
    </row>
    <row r="20" spans="1:3" ht="18" thickBot="1" x14ac:dyDescent="0.4">
      <c r="A20" s="21">
        <v>19</v>
      </c>
      <c r="B20" s="23">
        <v>4</v>
      </c>
      <c r="C20" s="23">
        <v>-0.14879999999999999</v>
      </c>
    </row>
    <row r="21" spans="1:3" ht="18" thickBot="1" x14ac:dyDescent="0.4">
      <c r="A21" s="21">
        <v>20</v>
      </c>
      <c r="B21" s="23">
        <v>4</v>
      </c>
      <c r="C21" s="23">
        <v>-0.1038</v>
      </c>
    </row>
    <row r="22" spans="1:3" ht="18" thickBot="1" x14ac:dyDescent="0.4">
      <c r="A22" s="21">
        <v>21</v>
      </c>
      <c r="B22" s="23">
        <v>4</v>
      </c>
      <c r="C22" s="23">
        <v>-5.8799999999999998E-2</v>
      </c>
    </row>
    <row r="23" spans="1:3" ht="18" thickBot="1" x14ac:dyDescent="0.4">
      <c r="A23" s="21">
        <v>22</v>
      </c>
      <c r="B23" s="23">
        <v>5</v>
      </c>
      <c r="C23" s="23">
        <v>-0.22</v>
      </c>
    </row>
    <row r="24" spans="1:3" ht="18" thickBot="1" x14ac:dyDescent="0.4">
      <c r="A24" s="21">
        <v>23</v>
      </c>
      <c r="B24" s="23">
        <v>5</v>
      </c>
      <c r="C24" s="23">
        <v>-0.17499999999999999</v>
      </c>
    </row>
    <row r="25" spans="1:3" ht="18" thickBot="1" x14ac:dyDescent="0.4">
      <c r="A25" s="21">
        <v>24</v>
      </c>
      <c r="B25" s="23">
        <v>5</v>
      </c>
      <c r="C25" s="23">
        <v>-0.13</v>
      </c>
    </row>
    <row r="26" spans="1:3" ht="18" thickBot="1" x14ac:dyDescent="0.4">
      <c r="A26" s="21">
        <v>25</v>
      </c>
      <c r="B26" s="23">
        <v>5</v>
      </c>
      <c r="C26" s="23">
        <v>-8.5000000000000006E-2</v>
      </c>
    </row>
    <row r="27" spans="1:3" ht="18" thickBot="1" x14ac:dyDescent="0.4">
      <c r="A27" s="21">
        <v>26</v>
      </c>
      <c r="B27" s="23">
        <v>5</v>
      </c>
      <c r="C27" s="23">
        <v>-0.04</v>
      </c>
    </row>
    <row r="28" spans="1:3" ht="18" thickBot="1" x14ac:dyDescent="0.4">
      <c r="A28" s="21">
        <v>27</v>
      </c>
      <c r="B28" s="23">
        <v>6</v>
      </c>
      <c r="C28" s="23">
        <v>-0.20119999999999999</v>
      </c>
    </row>
    <row r="29" spans="1:3" ht="18" thickBot="1" x14ac:dyDescent="0.4">
      <c r="A29" s="21">
        <v>28</v>
      </c>
      <c r="B29" s="23">
        <v>6</v>
      </c>
      <c r="C29" s="23">
        <v>-0.15620000000000001</v>
      </c>
    </row>
    <row r="30" spans="1:3" ht="18" thickBot="1" x14ac:dyDescent="0.4">
      <c r="A30" s="21">
        <v>29</v>
      </c>
      <c r="B30" s="23">
        <v>6</v>
      </c>
      <c r="C30" s="23">
        <v>-0.1113</v>
      </c>
    </row>
    <row r="31" spans="1:3" ht="18" thickBot="1" x14ac:dyDescent="0.4">
      <c r="A31" s="21">
        <v>30</v>
      </c>
      <c r="B31" s="23">
        <v>6</v>
      </c>
      <c r="C31" s="23">
        <v>-6.6299999999999998E-2</v>
      </c>
    </row>
    <row r="32" spans="1:3" ht="18" thickBot="1" x14ac:dyDescent="0.4">
      <c r="A32" s="21">
        <v>31</v>
      </c>
      <c r="B32" s="23">
        <v>6</v>
      </c>
      <c r="C32" s="23">
        <v>-2.1299999999999999E-2</v>
      </c>
    </row>
    <row r="33" spans="1:3" ht="18" thickBot="1" x14ac:dyDescent="0.4">
      <c r="A33" s="21">
        <v>32</v>
      </c>
      <c r="B33" s="23">
        <v>7</v>
      </c>
      <c r="C33" s="23">
        <v>-0.1825</v>
      </c>
    </row>
    <row r="34" spans="1:3" ht="18" thickBot="1" x14ac:dyDescent="0.4">
      <c r="A34" s="21">
        <v>33</v>
      </c>
      <c r="B34" s="23">
        <v>7</v>
      </c>
      <c r="C34" s="23">
        <v>-0.13750000000000001</v>
      </c>
    </row>
    <row r="35" spans="1:3" ht="18" thickBot="1" x14ac:dyDescent="0.4">
      <c r="A35" s="21">
        <v>34</v>
      </c>
      <c r="B35" s="23">
        <v>7</v>
      </c>
      <c r="C35" s="23">
        <v>-9.2499999999999999E-2</v>
      </c>
    </row>
    <row r="36" spans="1:3" ht="18" thickBot="1" x14ac:dyDescent="0.4">
      <c r="A36" s="21">
        <v>35</v>
      </c>
      <c r="B36" s="23">
        <v>7</v>
      </c>
      <c r="C36" s="23">
        <v>-4.7500000000000001E-2</v>
      </c>
    </row>
    <row r="37" spans="1:3" ht="18" thickBot="1" x14ac:dyDescent="0.4">
      <c r="A37" s="21">
        <v>36</v>
      </c>
      <c r="B37" s="23">
        <v>7</v>
      </c>
      <c r="C37" s="23">
        <v>-2.5000000000000001E-3</v>
      </c>
    </row>
    <row r="38" spans="1:3" ht="18" thickBot="1" x14ac:dyDescent="0.4">
      <c r="A38" s="21">
        <v>37</v>
      </c>
      <c r="B38" s="23">
        <v>8</v>
      </c>
      <c r="C38" s="23">
        <v>-0.1638</v>
      </c>
    </row>
    <row r="39" spans="1:3" ht="18" thickBot="1" x14ac:dyDescent="0.4">
      <c r="A39" s="21">
        <v>38</v>
      </c>
      <c r="B39" s="23">
        <v>8</v>
      </c>
      <c r="C39" s="23">
        <v>-0.1187</v>
      </c>
    </row>
    <row r="40" spans="1:3" ht="18" thickBot="1" x14ac:dyDescent="0.4">
      <c r="A40" s="21">
        <v>39</v>
      </c>
      <c r="B40" s="23">
        <v>8</v>
      </c>
      <c r="C40" s="23">
        <v>-7.3700000000000002E-2</v>
      </c>
    </row>
    <row r="41" spans="1:3" ht="18" thickBot="1" x14ac:dyDescent="0.4">
      <c r="A41" s="21">
        <v>40</v>
      </c>
      <c r="B41" s="23">
        <v>8</v>
      </c>
      <c r="C41" s="23">
        <v>-2.87E-2</v>
      </c>
    </row>
    <row r="42" spans="1:3" ht="18" thickBot="1" x14ac:dyDescent="0.4">
      <c r="A42" s="21">
        <v>41</v>
      </c>
      <c r="B42" s="23">
        <v>8</v>
      </c>
      <c r="C42" s="23">
        <v>1.6299999999999999E-2</v>
      </c>
    </row>
    <row r="43" spans="1:3" ht="18" thickBot="1" x14ac:dyDescent="0.4">
      <c r="A43" s="21">
        <v>42</v>
      </c>
      <c r="B43" s="23">
        <v>9</v>
      </c>
      <c r="C43" s="23">
        <v>-0.14499999999999999</v>
      </c>
    </row>
    <row r="44" spans="1:3" ht="18" thickBot="1" x14ac:dyDescent="0.4">
      <c r="A44" s="21">
        <v>43</v>
      </c>
      <c r="B44" s="23">
        <v>9</v>
      </c>
      <c r="C44" s="23">
        <v>-0.1</v>
      </c>
    </row>
    <row r="45" spans="1:3" ht="18" thickBot="1" x14ac:dyDescent="0.4">
      <c r="A45" s="21">
        <v>44</v>
      </c>
      <c r="B45" s="23">
        <v>9</v>
      </c>
      <c r="C45" s="23">
        <v>-5.5E-2</v>
      </c>
    </row>
    <row r="46" spans="1:3" ht="18" thickBot="1" x14ac:dyDescent="0.4">
      <c r="A46" s="21">
        <v>45</v>
      </c>
      <c r="B46" s="23">
        <v>9</v>
      </c>
      <c r="C46" s="23">
        <v>-0.01</v>
      </c>
    </row>
    <row r="47" spans="1:3" ht="18" thickBot="1" x14ac:dyDescent="0.4">
      <c r="A47" s="21">
        <v>46</v>
      </c>
      <c r="B47" s="23">
        <v>9</v>
      </c>
      <c r="C47" s="23">
        <v>3.5000000000000003E-2</v>
      </c>
    </row>
    <row r="48" spans="1:3" ht="18" thickBot="1" x14ac:dyDescent="0.4">
      <c r="A48" s="21">
        <v>47</v>
      </c>
      <c r="B48" s="23">
        <v>10</v>
      </c>
      <c r="C48" s="23">
        <v>-0.1263</v>
      </c>
    </row>
    <row r="49" spans="1:3" ht="18" thickBot="1" x14ac:dyDescent="0.4">
      <c r="A49" s="21">
        <v>48</v>
      </c>
      <c r="B49" s="23">
        <v>10</v>
      </c>
      <c r="C49" s="23">
        <v>-8.1299999999999997E-2</v>
      </c>
    </row>
    <row r="50" spans="1:3" ht="18" thickBot="1" x14ac:dyDescent="0.4">
      <c r="A50" s="21">
        <v>49</v>
      </c>
      <c r="B50" s="23">
        <v>10</v>
      </c>
      <c r="C50" s="23">
        <v>-3.6299999999999999E-2</v>
      </c>
    </row>
    <row r="51" spans="1:3" ht="18" thickBot="1" x14ac:dyDescent="0.4">
      <c r="A51" s="21">
        <v>50</v>
      </c>
      <c r="B51" s="23">
        <v>10</v>
      </c>
      <c r="C51" s="23">
        <v>8.6999999999999994E-3</v>
      </c>
    </row>
    <row r="52" spans="1:3" ht="18" thickBot="1" x14ac:dyDescent="0.4">
      <c r="A52" s="21">
        <v>51</v>
      </c>
      <c r="B52" s="23">
        <v>10</v>
      </c>
      <c r="C52" s="23">
        <v>5.3699999999999998E-2</v>
      </c>
    </row>
    <row r="53" spans="1:3" ht="18" thickBot="1" x14ac:dyDescent="0.4">
      <c r="A53" s="21">
        <v>52</v>
      </c>
      <c r="B53" s="23">
        <v>11</v>
      </c>
      <c r="C53" s="23">
        <v>-0.1075</v>
      </c>
    </row>
    <row r="54" spans="1:3" ht="18" thickBot="1" x14ac:dyDescent="0.4">
      <c r="A54" s="21">
        <v>53</v>
      </c>
      <c r="B54" s="23">
        <v>11</v>
      </c>
      <c r="C54" s="23">
        <v>-6.25E-2</v>
      </c>
    </row>
    <row r="55" spans="1:3" ht="18" thickBot="1" x14ac:dyDescent="0.4">
      <c r="A55" s="21">
        <v>54</v>
      </c>
      <c r="B55" s="23">
        <v>11</v>
      </c>
      <c r="C55" s="23">
        <v>-1.7500000000000002E-2</v>
      </c>
    </row>
    <row r="56" spans="1:3" ht="18" thickBot="1" x14ac:dyDescent="0.4">
      <c r="A56" s="21">
        <v>55</v>
      </c>
      <c r="B56" s="23">
        <v>11</v>
      </c>
      <c r="C56" s="23">
        <v>2.75E-2</v>
      </c>
    </row>
    <row r="57" spans="1:3" ht="18" thickBot="1" x14ac:dyDescent="0.4">
      <c r="A57" s="21">
        <v>56</v>
      </c>
      <c r="B57" s="23">
        <v>11</v>
      </c>
      <c r="C57" s="23">
        <v>7.2499999999999995E-2</v>
      </c>
    </row>
    <row r="58" spans="1:3" ht="18" thickBot="1" x14ac:dyDescent="0.4">
      <c r="A58" s="21">
        <v>57</v>
      </c>
      <c r="B58" s="23">
        <v>12</v>
      </c>
      <c r="C58" s="23">
        <v>-8.8800000000000004E-2</v>
      </c>
    </row>
    <row r="59" spans="1:3" ht="18" thickBot="1" x14ac:dyDescent="0.4">
      <c r="A59" s="21">
        <v>58</v>
      </c>
      <c r="B59" s="23">
        <v>12</v>
      </c>
      <c r="C59" s="23">
        <v>-4.3799999999999999E-2</v>
      </c>
    </row>
    <row r="60" spans="1:3" ht="18" thickBot="1" x14ac:dyDescent="0.4">
      <c r="A60" s="21">
        <v>59</v>
      </c>
      <c r="B60" s="23">
        <v>12</v>
      </c>
      <c r="C60" s="23">
        <v>1.1999999999999999E-3</v>
      </c>
    </row>
    <row r="61" spans="1:3" ht="18" thickBot="1" x14ac:dyDescent="0.4">
      <c r="A61" s="21">
        <v>60</v>
      </c>
      <c r="B61" s="23">
        <v>12</v>
      </c>
      <c r="C61" s="23">
        <v>4.6199999999999998E-2</v>
      </c>
    </row>
    <row r="62" spans="1:3" ht="18" thickBot="1" x14ac:dyDescent="0.4">
      <c r="A62" s="21">
        <v>61</v>
      </c>
      <c r="B62" s="23">
        <v>12</v>
      </c>
      <c r="C62" s="23">
        <v>9.1200000000000003E-2</v>
      </c>
    </row>
    <row r="63" spans="1:3" ht="18" thickBot="1" x14ac:dyDescent="0.4">
      <c r="A63" s="21">
        <v>62</v>
      </c>
      <c r="B63" s="23">
        <v>13</v>
      </c>
      <c r="C63" s="23">
        <v>-7.0000000000000007E-2</v>
      </c>
    </row>
    <row r="64" spans="1:3" ht="18" thickBot="1" x14ac:dyDescent="0.4">
      <c r="A64" s="21">
        <v>63</v>
      </c>
      <c r="B64" s="23">
        <v>13</v>
      </c>
      <c r="C64" s="23">
        <v>-2.5000000000000001E-2</v>
      </c>
    </row>
    <row r="65" spans="1:3" ht="18" thickBot="1" x14ac:dyDescent="0.4">
      <c r="A65" s="21">
        <v>64</v>
      </c>
      <c r="B65" s="23">
        <v>13</v>
      </c>
      <c r="C65" s="23">
        <v>0.02</v>
      </c>
    </row>
    <row r="66" spans="1:3" ht="18" thickBot="1" x14ac:dyDescent="0.4">
      <c r="A66" s="21">
        <v>65</v>
      </c>
      <c r="B66" s="23">
        <v>13</v>
      </c>
      <c r="C66" s="23">
        <v>6.5000000000000002E-2</v>
      </c>
    </row>
    <row r="67" spans="1:3" ht="18" thickBot="1" x14ac:dyDescent="0.4">
      <c r="A67" s="21">
        <v>66</v>
      </c>
      <c r="B67" s="23">
        <v>13</v>
      </c>
      <c r="C67" s="23">
        <v>0.11</v>
      </c>
    </row>
    <row r="68" spans="1:3" ht="18" thickBot="1" x14ac:dyDescent="0.4">
      <c r="A68" s="21">
        <v>67</v>
      </c>
      <c r="B68" s="23">
        <v>14</v>
      </c>
      <c r="C68" s="23">
        <v>-5.1299999999999998E-2</v>
      </c>
    </row>
    <row r="69" spans="1:3" ht="18" thickBot="1" x14ac:dyDescent="0.4">
      <c r="A69" s="21">
        <v>68</v>
      </c>
      <c r="B69" s="23">
        <v>14</v>
      </c>
      <c r="C69" s="23">
        <v>-6.3E-3</v>
      </c>
    </row>
    <row r="70" spans="1:3" ht="18" thickBot="1" x14ac:dyDescent="0.4">
      <c r="A70" s="21">
        <v>69</v>
      </c>
      <c r="B70" s="23">
        <v>14</v>
      </c>
      <c r="C70" s="23">
        <v>3.8699999999999998E-2</v>
      </c>
    </row>
    <row r="71" spans="1:3" ht="18" thickBot="1" x14ac:dyDescent="0.4">
      <c r="A71" s="21">
        <v>70</v>
      </c>
      <c r="B71" s="23">
        <v>14</v>
      </c>
      <c r="C71" s="23">
        <v>8.3699999999999997E-2</v>
      </c>
    </row>
    <row r="72" spans="1:3" ht="18" thickBot="1" x14ac:dyDescent="0.4">
      <c r="A72" s="21">
        <v>71</v>
      </c>
      <c r="B72" s="23">
        <v>14</v>
      </c>
      <c r="C72" s="23">
        <v>0.12870000000000001</v>
      </c>
    </row>
    <row r="73" spans="1:3" ht="18" thickBot="1" x14ac:dyDescent="0.4">
      <c r="A73" s="21">
        <v>72</v>
      </c>
      <c r="B73" s="23">
        <v>15</v>
      </c>
      <c r="C73" s="23">
        <v>-3.2500000000000001E-2</v>
      </c>
    </row>
    <row r="74" spans="1:3" ht="18" thickBot="1" x14ac:dyDescent="0.4">
      <c r="A74" s="21">
        <v>73</v>
      </c>
      <c r="B74" s="23">
        <v>15</v>
      </c>
      <c r="C74" s="23">
        <v>1.2500000000000001E-2</v>
      </c>
    </row>
    <row r="75" spans="1:3" ht="18" thickBot="1" x14ac:dyDescent="0.4">
      <c r="A75" s="21">
        <v>74</v>
      </c>
      <c r="B75" s="23">
        <v>15</v>
      </c>
      <c r="C75" s="23">
        <v>5.7500000000000002E-2</v>
      </c>
    </row>
    <row r="76" spans="1:3" ht="18" thickBot="1" x14ac:dyDescent="0.4">
      <c r="A76" s="21">
        <v>75</v>
      </c>
      <c r="B76" s="23">
        <v>15</v>
      </c>
      <c r="C76" s="23">
        <v>0.10249999999999999</v>
      </c>
    </row>
    <row r="77" spans="1:3" ht="18" thickBot="1" x14ac:dyDescent="0.4">
      <c r="A77" s="21">
        <v>76</v>
      </c>
      <c r="B77" s="23">
        <v>15</v>
      </c>
      <c r="C77" s="23">
        <v>0.14749999999999999</v>
      </c>
    </row>
    <row r="78" spans="1:3" ht="18" thickBot="1" x14ac:dyDescent="0.4">
      <c r="A78" s="21">
        <v>77</v>
      </c>
      <c r="B78" s="23">
        <v>16</v>
      </c>
      <c r="C78" s="23">
        <v>-1.37E-2</v>
      </c>
    </row>
    <row r="79" spans="1:3" ht="18" thickBot="1" x14ac:dyDescent="0.4">
      <c r="A79" s="21">
        <v>78</v>
      </c>
      <c r="B79" s="23">
        <v>16</v>
      </c>
      <c r="C79" s="23">
        <v>3.1199999999999999E-2</v>
      </c>
    </row>
    <row r="80" spans="1:3" ht="18" thickBot="1" x14ac:dyDescent="0.4">
      <c r="A80" s="21">
        <v>79</v>
      </c>
      <c r="B80" s="23">
        <v>16</v>
      </c>
      <c r="C80" s="23">
        <v>7.6200000000000004E-2</v>
      </c>
    </row>
    <row r="81" spans="1:3" ht="18" thickBot="1" x14ac:dyDescent="0.4">
      <c r="A81" s="21">
        <v>80</v>
      </c>
      <c r="B81" s="23">
        <v>16</v>
      </c>
      <c r="C81" s="23">
        <v>0.1212</v>
      </c>
    </row>
    <row r="82" spans="1:3" ht="18" thickBot="1" x14ac:dyDescent="0.4">
      <c r="A82" s="21">
        <v>81</v>
      </c>
      <c r="B82" s="23">
        <v>16</v>
      </c>
      <c r="C82" s="23">
        <v>0.1663</v>
      </c>
    </row>
    <row r="83" spans="1:3" ht="18" thickBot="1" x14ac:dyDescent="0.4">
      <c r="A83" s="21">
        <v>82</v>
      </c>
      <c r="B83" s="23">
        <v>17</v>
      </c>
      <c r="C83" s="23">
        <v>5.0000000000000001E-3</v>
      </c>
    </row>
    <row r="84" spans="1:3" ht="18" thickBot="1" x14ac:dyDescent="0.4">
      <c r="A84" s="21">
        <v>83</v>
      </c>
      <c r="B84" s="23">
        <v>17</v>
      </c>
      <c r="C84" s="23">
        <v>0.05</v>
      </c>
    </row>
    <row r="85" spans="1:3" ht="18" thickBot="1" x14ac:dyDescent="0.4">
      <c r="A85" s="21">
        <v>84</v>
      </c>
      <c r="B85" s="23">
        <v>17</v>
      </c>
      <c r="C85" s="23">
        <v>9.5000000000000001E-2</v>
      </c>
    </row>
    <row r="86" spans="1:3" ht="18" thickBot="1" x14ac:dyDescent="0.4">
      <c r="A86" s="21">
        <v>85</v>
      </c>
      <c r="B86" s="23">
        <v>17</v>
      </c>
      <c r="C86" s="23">
        <v>0.14000000000000001</v>
      </c>
    </row>
    <row r="87" spans="1:3" ht="18" thickBot="1" x14ac:dyDescent="0.4">
      <c r="A87" s="21">
        <v>86</v>
      </c>
      <c r="B87" s="23">
        <v>17</v>
      </c>
      <c r="C87" s="23">
        <v>0.185</v>
      </c>
    </row>
    <row r="88" spans="1:3" ht="18" thickBot="1" x14ac:dyDescent="0.4">
      <c r="A88" s="21">
        <v>87</v>
      </c>
      <c r="B88" s="23">
        <v>18</v>
      </c>
      <c r="C88" s="23">
        <v>2.3699999999999999E-2</v>
      </c>
    </row>
    <row r="89" spans="1:3" ht="18" thickBot="1" x14ac:dyDescent="0.4">
      <c r="A89" s="21">
        <v>88</v>
      </c>
      <c r="B89" s="23">
        <v>18</v>
      </c>
      <c r="C89" s="23">
        <v>6.8699999999999997E-2</v>
      </c>
    </row>
    <row r="90" spans="1:3" ht="18" thickBot="1" x14ac:dyDescent="0.4">
      <c r="A90" s="21">
        <v>89</v>
      </c>
      <c r="B90" s="23">
        <v>18</v>
      </c>
      <c r="C90" s="23">
        <v>0.1137</v>
      </c>
    </row>
    <row r="91" spans="1:3" ht="18" thickBot="1" x14ac:dyDescent="0.4">
      <c r="A91" s="21">
        <v>90</v>
      </c>
      <c r="B91" s="23">
        <v>18</v>
      </c>
      <c r="C91" s="23">
        <v>0.15870000000000001</v>
      </c>
    </row>
    <row r="92" spans="1:3" ht="18" thickBot="1" x14ac:dyDescent="0.4">
      <c r="A92" s="21">
        <v>91</v>
      </c>
      <c r="B92" s="23">
        <v>18</v>
      </c>
      <c r="C92" s="23">
        <v>0.20369999999999999</v>
      </c>
    </row>
    <row r="93" spans="1:3" ht="18" thickBot="1" x14ac:dyDescent="0.4">
      <c r="A93" s="21">
        <v>92</v>
      </c>
      <c r="B93" s="23">
        <v>19</v>
      </c>
      <c r="C93" s="23">
        <v>4.2500000000000003E-2</v>
      </c>
    </row>
    <row r="94" spans="1:3" ht="18" thickBot="1" x14ac:dyDescent="0.4">
      <c r="A94" s="21">
        <v>93</v>
      </c>
      <c r="B94" s="23">
        <v>19</v>
      </c>
      <c r="C94" s="23">
        <v>8.7499999999999994E-2</v>
      </c>
    </row>
    <row r="95" spans="1:3" ht="18" thickBot="1" x14ac:dyDescent="0.4">
      <c r="A95" s="21">
        <v>94</v>
      </c>
      <c r="B95" s="23">
        <v>19</v>
      </c>
      <c r="C95" s="23">
        <v>0.13250000000000001</v>
      </c>
    </row>
    <row r="96" spans="1:3" ht="18" thickBot="1" x14ac:dyDescent="0.4">
      <c r="A96" s="21">
        <v>95</v>
      </c>
      <c r="B96" s="23">
        <v>19</v>
      </c>
      <c r="C96" s="23">
        <v>0.17749999999999999</v>
      </c>
    </row>
    <row r="97" spans="1:3" ht="18" thickBot="1" x14ac:dyDescent="0.4">
      <c r="A97" s="21">
        <v>96</v>
      </c>
      <c r="B97" s="23">
        <v>19</v>
      </c>
      <c r="C97" s="23">
        <v>0.2225</v>
      </c>
    </row>
    <row r="98" spans="1:3" ht="18" thickBot="1" x14ac:dyDescent="0.4">
      <c r="A98" s="21">
        <v>97</v>
      </c>
      <c r="B98" s="23">
        <v>20</v>
      </c>
      <c r="C98" s="23">
        <v>6.1199999999999997E-2</v>
      </c>
    </row>
    <row r="99" spans="1:3" ht="18" thickBot="1" x14ac:dyDescent="0.4">
      <c r="A99" s="21">
        <v>98</v>
      </c>
      <c r="B99" s="23">
        <v>20</v>
      </c>
      <c r="C99" s="23">
        <v>0.1062</v>
      </c>
    </row>
    <row r="100" spans="1:3" ht="18" thickBot="1" x14ac:dyDescent="0.4">
      <c r="A100" s="21">
        <v>99</v>
      </c>
      <c r="B100" s="23">
        <v>20</v>
      </c>
      <c r="C100" s="23">
        <v>0.1512</v>
      </c>
    </row>
    <row r="101" spans="1:3" ht="18" thickBot="1" x14ac:dyDescent="0.4">
      <c r="A101" s="21">
        <v>100</v>
      </c>
      <c r="B101" s="23">
        <v>20</v>
      </c>
      <c r="C101" s="23">
        <v>0.19620000000000001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Problema1_XR</vt:lpstr>
      <vt:lpstr>Problema2_u</vt:lpstr>
      <vt:lpstr>Problema3_Capacidad</vt:lpstr>
      <vt:lpstr>Problema4_np</vt:lpstr>
      <vt:lpstr>Hoja6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Jaeroock Geovanni Tello Mendoza</dc:creator>
  <cp:lastModifiedBy>Patrick Jaeroock Geovanni Tello Mendoza</cp:lastModifiedBy>
  <dcterms:created xsi:type="dcterms:W3CDTF">2026-07-04T15:38:43Z</dcterms:created>
  <dcterms:modified xsi:type="dcterms:W3CDTF">2026-07-09T22:32:18Z</dcterms:modified>
</cp:coreProperties>
</file>